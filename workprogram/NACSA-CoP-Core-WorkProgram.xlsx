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amp; Approach" sheetId="1" state="visible" r:id="rId1"/>
    <sheet xmlns:r="http://schemas.openxmlformats.org/officeDocument/2006/relationships" name="Scoping" sheetId="2" state="visible" r:id="rId2"/>
    <sheet xmlns:r="http://schemas.openxmlformats.org/officeDocument/2006/relationships" name="Planning" sheetId="3" state="visible" r:id="rId3"/>
    <sheet xmlns:r="http://schemas.openxmlformats.org/officeDocument/2006/relationships" name="Statutory &amp; Legal" sheetId="4" state="visible" r:id="rId4"/>
    <sheet xmlns:r="http://schemas.openxmlformats.org/officeDocument/2006/relationships" name="CE Directive Compliance" sheetId="5" state="visible" r:id="rId5"/>
    <sheet xmlns:r="http://schemas.openxmlformats.org/officeDocument/2006/relationships" name="CoP 4.0 Governance and Leadersh" sheetId="6" state="visible" r:id="rId6"/>
    <sheet xmlns:r="http://schemas.openxmlformats.org/officeDocument/2006/relationships" name="CoP 5.0 Cyber Security Policy a" sheetId="7" state="visible" r:id="rId7"/>
    <sheet xmlns:r="http://schemas.openxmlformats.org/officeDocument/2006/relationships" name="CoP 6.0 Organisational Developm" sheetId="8" state="visible" r:id="rId8"/>
    <sheet xmlns:r="http://schemas.openxmlformats.org/officeDocument/2006/relationships" name="CoP 7.0 Cyber Security Assuranc" sheetId="9" state="visible" r:id="rId9"/>
    <sheet xmlns:r="http://schemas.openxmlformats.org/officeDocument/2006/relationships" name="CoP 8.0 Resource Allocation and" sheetId="10" state="visible" r:id="rId10"/>
    <sheet xmlns:r="http://schemas.openxmlformats.org/officeDocument/2006/relationships" name="CoP 9.0 Risk Management" sheetId="11" state="visible" r:id="rId11"/>
    <sheet xmlns:r="http://schemas.openxmlformats.org/officeDocument/2006/relationships" name="CoP 10.0 Operational Efficiency" sheetId="12" state="visible" r:id="rId12"/>
    <sheet xmlns:r="http://schemas.openxmlformats.org/officeDocument/2006/relationships" name="CoP 11.0 Data Security" sheetId="13" state="visible" r:id="rId13"/>
    <sheet xmlns:r="http://schemas.openxmlformats.org/officeDocument/2006/relationships" name="CoP 12.0 Contractual Management" sheetId="14" state="visible" r:id="rId14"/>
    <sheet xmlns:r="http://schemas.openxmlformats.org/officeDocument/2006/relationships" name="CoP 13.0 Physical Security" sheetId="15" state="visible" r:id="rId15"/>
    <sheet xmlns:r="http://schemas.openxmlformats.org/officeDocument/2006/relationships" name="CoP 14.0 System and Network Sec" sheetId="16" state="visible" r:id="rId16"/>
    <sheet xmlns:r="http://schemas.openxmlformats.org/officeDocument/2006/relationships" name="CoP 15.0 Access Control" sheetId="17" state="visible" r:id="rId17"/>
    <sheet xmlns:r="http://schemas.openxmlformats.org/officeDocument/2006/relationships" name="CoP 16.0 Technical Vulnerabilit" sheetId="18" state="visible" r:id="rId18"/>
    <sheet xmlns:r="http://schemas.openxmlformats.org/officeDocument/2006/relationships" name="CoP 17.0 Cyber Security Event M" sheetId="19" state="visible" r:id="rId19"/>
    <sheet xmlns:r="http://schemas.openxmlformats.org/officeDocument/2006/relationships" name="CoP 18.0 Cyber Security Inciden" sheetId="20" state="visible" r:id="rId20"/>
    <sheet xmlns:r="http://schemas.openxmlformats.org/officeDocument/2006/relationships" name="CoP 19.0 Business Continuity Ma" sheetId="21" state="visible" r:id="rId21"/>
    <sheet xmlns:r="http://schemas.openxmlformats.org/officeDocument/2006/relationships" name="CoP 20.0 Sector-Specific Requir" sheetId="22" state="visible" r:id="rId22"/>
    <sheet xmlns:r="http://schemas.openxmlformats.org/officeDocument/2006/relationships" name="Finding Register" sheetId="23" state="visible" r:id="rId23"/>
    <sheet xmlns:r="http://schemas.openxmlformats.org/officeDocument/2006/relationships" name="Scoring Dashboard" sheetId="24" state="visible" r:id="rId24"/>
    <sheet xmlns:r="http://schemas.openxmlformats.org/officeDocument/2006/relationships" name="Document Request" sheetId="25" state="visible" r:id="rId25"/>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2F5496"/>
      <sz val="14"/>
    </font>
    <font>
      <name val="Calibri"/>
      <b val="1"/>
      <color rgb="002F5496"/>
      <sz val="12"/>
    </font>
    <font>
      <name val="Calibri"/>
      <b val="1"/>
      <sz val="10"/>
    </font>
    <font>
      <name val="Calibri"/>
      <sz val="10"/>
    </font>
    <font>
      <name val="Calibri"/>
      <i val="1"/>
      <sz val="9"/>
    </font>
    <font>
      <name val="Calibri"/>
      <b val="1"/>
      <color rgb="00FFFFFF"/>
      <sz val="11"/>
    </font>
    <font>
      <name val="Calibri"/>
      <b val="1"/>
      <color rgb="00FFFFFF"/>
      <sz val="14"/>
    </font>
    <font>
      <name val="Calibri"/>
      <b val="1"/>
      <sz val="11"/>
    </font>
    <font>
      <name val="Calibri"/>
      <b val="1"/>
      <color rgb="002F5496"/>
      <sz val="11"/>
    </font>
    <font>
      <name val="Calibri"/>
      <i val="1"/>
      <sz val="10"/>
    </font>
  </fonts>
  <fills count="15">
    <fill>
      <patternFill/>
    </fill>
    <fill>
      <patternFill patternType="gray125"/>
    </fill>
    <fill>
      <patternFill patternType="solid">
        <fgColor rgb="002F5496"/>
        <bgColor rgb="002F5496"/>
      </patternFill>
    </fill>
    <fill>
      <patternFill patternType="solid">
        <fgColor rgb="008B0000"/>
        <bgColor rgb="008B0000"/>
      </patternFill>
    </fill>
    <fill>
      <patternFill patternType="solid">
        <fgColor rgb="00FCE4D6"/>
        <bgColor rgb="00FCE4D6"/>
      </patternFill>
    </fill>
    <fill>
      <patternFill patternType="solid">
        <fgColor rgb="005B2C6F"/>
        <bgColor rgb="005B2C6F"/>
      </patternFill>
    </fill>
    <fill>
      <patternFill patternType="solid">
        <fgColor rgb="00E8D5E8"/>
        <bgColor rgb="00E8D5E8"/>
      </patternFill>
    </fill>
    <fill>
      <patternFill patternType="solid">
        <fgColor rgb="00D6E4F0"/>
        <bgColor rgb="00D6E4F0"/>
      </patternFill>
    </fill>
    <fill>
      <patternFill patternType="solid">
        <fgColor rgb="00E2EFDA"/>
        <bgColor rgb="00E2EFDA"/>
      </patternFill>
    </fill>
    <fill>
      <patternFill patternType="solid">
        <fgColor rgb="00FFF2CC"/>
        <bgColor rgb="00FFF2CC"/>
      </patternFill>
    </fill>
    <fill>
      <patternFill patternType="solid">
        <fgColor rgb="00F2F2F2"/>
        <bgColor rgb="00F2F2F2"/>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1" pivotButton="0" quotePrefix="0" xfId="0"/>
    <xf numFmtId="0" fontId="4" fillId="0" borderId="1" applyAlignment="1" pivotButton="0" quotePrefix="0" xfId="0">
      <alignment vertical="top" wrapText="1"/>
    </xf>
    <xf numFmtId="0" fontId="5" fillId="0" borderId="0" pivotButton="0" quotePrefix="0" xfId="0"/>
    <xf numFmtId="0" fontId="6" fillId="2" borderId="1" pivotButton="0" quotePrefix="0" xfId="0"/>
    <xf numFmtId="0" fontId="4" fillId="0" borderId="1" pivotButton="0" quotePrefix="0" xfId="0"/>
    <xf numFmtId="0" fontId="0" fillId="0" borderId="1" pivotButton="0" quotePrefix="0" xfId="0"/>
    <xf numFmtId="0" fontId="7" fillId="3" borderId="0" pivotButton="0" quotePrefix="0" xfId="0"/>
    <xf numFmtId="0" fontId="6" fillId="3" borderId="1" applyAlignment="1" pivotButton="0" quotePrefix="0" xfId="0">
      <alignment horizontal="center" vertical="top" wrapText="1"/>
    </xf>
    <xf numFmtId="0" fontId="4" fillId="4" borderId="1" applyAlignment="1" pivotButton="0" quotePrefix="0" xfId="0">
      <alignment vertical="top" wrapText="1"/>
    </xf>
    <xf numFmtId="0" fontId="5" fillId="0" borderId="0" applyAlignment="1" pivotButton="0" quotePrefix="0" xfId="0">
      <alignment vertical="top" wrapText="1"/>
    </xf>
    <xf numFmtId="0" fontId="3" fillId="0" borderId="1" applyAlignment="1" pivotButton="0" quotePrefix="0" xfId="0">
      <alignment vertical="top" wrapText="1"/>
    </xf>
    <xf numFmtId="0" fontId="7" fillId="5" borderId="0" pivotButton="0" quotePrefix="0" xfId="0"/>
    <xf numFmtId="0" fontId="8" fillId="6" borderId="1" pivotButton="0" quotePrefix="0" xfId="0"/>
    <xf numFmtId="0" fontId="6" fillId="5" borderId="1" applyAlignment="1" pivotButton="0" quotePrefix="0" xfId="0">
      <alignment horizontal="center" vertical="top" wrapText="1"/>
    </xf>
    <xf numFmtId="0" fontId="6" fillId="2" borderId="1" applyAlignment="1" pivotButton="0" quotePrefix="0" xfId="0">
      <alignment horizontal="center" vertical="top" wrapText="1"/>
    </xf>
    <xf numFmtId="0" fontId="9" fillId="7" borderId="1" pivotButton="0" quotePrefix="0" xfId="0"/>
    <xf numFmtId="0" fontId="0" fillId="7" borderId="1" pivotButton="0" quotePrefix="0" xfId="0"/>
    <xf numFmtId="0" fontId="10" fillId="6" borderId="1" applyAlignment="1" pivotButton="0" quotePrefix="0" xfId="0">
      <alignment vertical="top" wrapText="1"/>
    </xf>
    <xf numFmtId="0" fontId="0" fillId="6" borderId="1" pivotButton="0" quotePrefix="0" xfId="0"/>
    <xf numFmtId="0" fontId="3" fillId="8" borderId="1" applyAlignment="1" pivotButton="0" quotePrefix="0" xfId="0">
      <alignment vertical="top" wrapText="1"/>
    </xf>
    <xf numFmtId="0" fontId="3" fillId="9" borderId="1" applyAlignment="1" pivotButton="0" quotePrefix="0" xfId="0">
      <alignment vertical="top" wrapText="1"/>
    </xf>
    <xf numFmtId="0" fontId="10" fillId="10" borderId="1" applyAlignment="1" pivotButton="0" quotePrefix="0" xfId="0">
      <alignment vertical="top" wrapText="1"/>
    </xf>
    <xf numFmtId="0" fontId="4" fillId="10" borderId="1" applyAlignment="1" pivotButton="0" quotePrefix="0" xfId="0">
      <alignment vertical="top" wrapText="1"/>
    </xf>
    <xf numFmtId="0" fontId="3" fillId="4" borderId="1" applyAlignment="1" pivotButton="0" quotePrefix="0" xfId="0">
      <alignment vertical="top" wrapText="1"/>
    </xf>
    <xf numFmtId="0" fontId="10" fillId="0" borderId="0" applyAlignment="1" pivotButton="0" quotePrefix="0" xfId="0">
      <alignment vertical="top" wrapText="1"/>
    </xf>
    <xf numFmtId="0" fontId="4" fillId="11" borderId="1" pivotButton="0" quotePrefix="0" xfId="0"/>
    <xf numFmtId="0" fontId="4" fillId="12" borderId="1" pivotButton="0" quotePrefix="0" xfId="0"/>
    <xf numFmtId="0" fontId="4" fillId="13" borderId="1" pivotButton="0" quotePrefix="0" xfId="0"/>
    <xf numFmtId="0" fontId="4" fillId="14" borderId="1" pivotButton="0" quotePrefix="0" xfId="0"/>
    <xf numFmtId="164" fontId="4" fillId="0" borderId="1" pivotButton="0" quotePrefix="0" xfId="0"/>
    <xf numFmtId="0" fontId="10" fillId="0" borderId="1" pivotButton="0" quotePrefix="0" xfId="0"/>
    <xf numFmtId="0" fontId="10"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4">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6"/>
  <sheetViews>
    <sheetView workbookViewId="0">
      <selection activeCell="A1" sqref="A1"/>
    </sheetView>
  </sheetViews>
  <sheetFormatPr baseColWidth="8" defaultRowHeight="15"/>
  <cols>
    <col width="25" customWidth="1" min="1" max="1"/>
    <col width="6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NACSA CoP COMPLIANCE ASSESSMENT — METHODOLOGY &amp; APPROACH</t>
        </is>
      </c>
    </row>
    <row r="2">
      <c r="A2" s="2" t="inlineStr">
        <is>
          <t>Cyber Security Act 2024 (Act 854) — NCII Entity Compliance Assessment</t>
        </is>
      </c>
    </row>
    <row r="4">
      <c r="A4" s="2" t="inlineStr">
        <is>
          <t>ENGAGEMENT DETAILS</t>
        </is>
      </c>
    </row>
    <row r="5">
      <c r="A5" s="3" t="inlineStr">
        <is>
          <t>Entity Name:</t>
        </is>
      </c>
      <c r="B5" s="4" t="inlineStr">
        <is>
          <t>[Entity Name]</t>
        </is>
      </c>
    </row>
    <row r="6">
      <c r="A6" s="3" t="inlineStr">
        <is>
          <t>NCII Sector:</t>
        </is>
      </c>
      <c r="B6" s="4" t="inlineStr">
        <is>
          <t>[Sector]</t>
        </is>
      </c>
    </row>
    <row r="7">
      <c r="A7" s="3" t="inlineStr">
        <is>
          <t>Sector Lead:</t>
        </is>
      </c>
      <c r="B7" s="4" t="inlineStr">
        <is>
          <t>[Sector Lead]</t>
        </is>
      </c>
    </row>
    <row r="8">
      <c r="A8" s="3" t="inlineStr">
        <is>
          <t>Engagement Type:</t>
        </is>
      </c>
      <c r="B8" s="4" t="inlineStr">
        <is>
          <t>Compliance Assessment (Mandatory) + Risk-Based Assessment (Mandatory)</t>
        </is>
      </c>
    </row>
    <row r="9">
      <c r="A9" s="3" t="inlineStr">
        <is>
          <t>Regulatory Basis:</t>
        </is>
      </c>
      <c r="B9" s="4" t="inlineStr">
        <is>
          <t>Cyber Security Act 2024 (Act 854) — CoP Template v1.6</t>
        </is>
      </c>
    </row>
    <row r="10">
      <c r="A10" s="3" t="inlineStr">
        <is>
          <t>Assessment Date:</t>
        </is>
      </c>
      <c r="B10" s="4" t="inlineStr">
        <is>
          <t>[DD/MM/YYYY]</t>
        </is>
      </c>
    </row>
    <row r="11">
      <c r="A11" s="3" t="inlineStr">
        <is>
          <t>Assessment Period:</t>
        </is>
      </c>
      <c r="B11" s="4" t="inlineStr">
        <is>
          <t>[Start Date] to [End Date]</t>
        </is>
      </c>
    </row>
    <row r="12">
      <c r="A12" s="3" t="inlineStr">
        <is>
          <t>Lead Auditor:</t>
        </is>
      </c>
      <c r="B12" s="4" t="inlineStr">
        <is>
          <t>[Name, Qualification]</t>
        </is>
      </c>
    </row>
    <row r="13">
      <c r="A13" s="3" t="inlineStr">
        <is>
          <t>Engagement Partner:</t>
        </is>
      </c>
      <c r="B13" s="4" t="inlineStr">
        <is>
          <t>[Name, Qualification]</t>
        </is>
      </c>
    </row>
    <row r="14">
      <c r="A14" s="3" t="inlineStr">
        <is>
          <t>Legal Practitioner (Mode A):</t>
        </is>
      </c>
      <c r="B14" s="4" t="inlineStr">
        <is>
          <t>[Name / Firm]</t>
        </is>
      </c>
    </row>
    <row r="15">
      <c r="A15" s="3" t="inlineStr">
        <is>
          <t>Engagement Reference:</t>
        </is>
      </c>
      <c r="B15" s="4" t="inlineStr">
        <is>
          <t>[Ref Number]</t>
        </is>
      </c>
    </row>
    <row r="16">
      <c r="A16" s="3" t="inlineStr">
        <is>
          <t>Report Classification:</t>
        </is>
      </c>
      <c r="B16" s="4" t="inlineStr">
        <is>
          <t>Sulit (Confidential)</t>
        </is>
      </c>
    </row>
    <row r="18">
      <c r="A18" s="2" t="inlineStr">
        <is>
          <t>SCOPE OF ASSESSMENT</t>
        </is>
      </c>
    </row>
    <row r="19">
      <c r="A19" s="5" t="inlineStr">
        <is>
          <t>This assessment covers compliance with the NACSA Code of Practice Template v1.6 across 17 control domains (CoP 4.0-20.0), 126 controls, and 228 testable requirements (210 Tier 1 SHALL + 18 Tier 2 SHOULD/MAY). Additionally, 42 directive-only requirements from CE Directives 01-10 are assessed separately.</t>
        </is>
      </c>
    </row>
    <row r="21">
      <c r="A21" s="2" t="inlineStr">
        <is>
          <t>ASSESSMENT APPROACHES</t>
        </is>
      </c>
    </row>
    <row r="22">
      <c r="A22" s="3" t="inlineStr">
        <is>
          <t>Compliance Assessment (MANDATORY)</t>
        </is>
      </c>
    </row>
    <row r="23">
      <c r="A23" s="5" t="inlineStr">
        <is>
          <t>Assess compliance with CoP Template clauses. Rating: P/SP/TP/TB per control domain.</t>
        </is>
      </c>
    </row>
    <row r="24">
      <c r="A24" s="3" t="inlineStr">
        <is>
          <t>Risk-Based Assessment (MANDATORY)</t>
        </is>
      </c>
    </row>
    <row r="25">
      <c r="A25" s="5" t="inlineStr">
        <is>
          <t>Evaluate risk management processes per CoP 9.0 and annual RA requirement under P.U.(A) 219/2024.</t>
        </is>
      </c>
    </row>
    <row r="26">
      <c r="A26" s="3" t="inlineStr">
        <is>
          <t>Control-Based Assessment (OPTIONAL)</t>
        </is>
      </c>
    </row>
    <row r="27">
      <c r="A27" s="5" t="inlineStr">
        <is>
          <t>Evaluate operating effectiveness of selected controls. Rating: Berkesan/Sebahagian Berkesan/Tidak Berkesan.</t>
        </is>
      </c>
    </row>
    <row r="28">
      <c r="A28" s="3" t="inlineStr">
        <is>
          <t>Technical Testing (OPTIONAL)</t>
        </is>
      </c>
    </row>
    <row r="29">
      <c r="A29" s="5" t="inlineStr">
        <is>
          <t>Vulnerability scanning, penetration testing, configuration review of NCII systems.</t>
        </is>
      </c>
    </row>
    <row r="30">
      <c r="A30" s="3" t="inlineStr">
        <is>
          <t>Physical Inspection (OPTIONAL)</t>
        </is>
      </c>
    </row>
    <row r="31">
      <c r="A31" s="5" t="inlineStr">
        <is>
          <t>On-site physical security inspection of data centres and critical infrastructure housing NCII.</t>
        </is>
      </c>
    </row>
    <row r="32">
      <c r="A32" s="3" t="inlineStr">
        <is>
          <t>Continuous Improvement Review (OPTIONAL)</t>
        </is>
      </c>
    </row>
    <row r="33">
      <c r="A33" s="5" t="inlineStr">
        <is>
          <t>Evaluate maturity trajectory and improvement plans. No compliance rating — qualitative narrative only.</t>
        </is>
      </c>
    </row>
    <row r="35">
      <c r="A35" s="2" t="inlineStr">
        <is>
          <t>ASSESSMENT LEVELS</t>
        </is>
      </c>
    </row>
    <row r="36">
      <c r="A36" s="3" t="inlineStr">
        <is>
          <t>ORG</t>
        </is>
      </c>
      <c r="B36" s="5" t="inlineStr">
        <is>
          <t>Organisation-level. Assessed ONCE per engagement. Policies, governance, frameworks that apply across all NCII systems.</t>
        </is>
      </c>
    </row>
    <row r="37">
      <c r="A37" s="3" t="inlineStr">
        <is>
          <t>SYSTEM</t>
        </is>
      </c>
      <c r="B37" s="5" t="inlineStr">
        <is>
          <t>NCII System-level. Assessed PER NCII SYSTEM in scope using sampling. Covers system-specific configurations, controls, and technical measures.</t>
        </is>
      </c>
    </row>
    <row r="39">
      <c r="A39" s="2" t="inlineStr">
        <is>
          <t>ASSESSMENT METHODS</t>
        </is>
      </c>
    </row>
    <row r="40">
      <c r="A40" s="3" t="inlineStr">
        <is>
          <t>Inspection</t>
        </is>
      </c>
      <c r="B40" s="5" t="inlineStr">
        <is>
          <t>Examination of documents, records, policies, configurations, and tangible evidence.</t>
        </is>
      </c>
    </row>
    <row r="41">
      <c r="A41" s="3" t="inlineStr">
        <is>
          <t>Inquiry</t>
        </is>
      </c>
      <c r="B41" s="5" t="inlineStr">
        <is>
          <t>Interviews with management, process owners, and staff.</t>
        </is>
      </c>
    </row>
    <row r="42">
      <c r="A42" s="3" t="inlineStr">
        <is>
          <t>Observation</t>
        </is>
      </c>
      <c r="B42" s="5" t="inlineStr">
        <is>
          <t>Direct observation of processes, systems, and activities.</t>
        </is>
      </c>
    </row>
    <row r="43">
      <c r="A43" s="3" t="inlineStr">
        <is>
          <t>Confirmation</t>
        </is>
      </c>
      <c r="B43" s="5" t="inlineStr">
        <is>
          <t>Verification with external or independent parties.</t>
        </is>
      </c>
    </row>
    <row r="44">
      <c r="A44" s="3" t="inlineStr">
        <is>
          <t>Re-performance</t>
        </is>
      </c>
      <c r="B44" s="5" t="inlineStr">
        <is>
          <t>Auditor independently re-performs the control procedure.</t>
        </is>
      </c>
    </row>
    <row r="46">
      <c r="A46" s="2" t="inlineStr">
        <is>
          <t>EVIDENCE HIERARCHY (prefer higher-ranked)</t>
        </is>
      </c>
    </row>
    <row r="47">
      <c r="A47" s="3" t="inlineStr">
        <is>
          <t>Rank 1</t>
        </is>
      </c>
      <c r="B47" s="4" t="inlineStr">
        <is>
          <t>Direct observation — auditor directly observes control in operation</t>
        </is>
      </c>
    </row>
    <row r="48">
      <c r="A48" s="3" t="inlineStr">
        <is>
          <t>Rank 2</t>
        </is>
      </c>
      <c r="B48" s="4" t="inlineStr">
        <is>
          <t>Independent confirmation — third-party evidence (certifications, audit reports)</t>
        </is>
      </c>
    </row>
    <row r="49">
      <c r="A49" s="3" t="inlineStr">
        <is>
          <t>Rank 3</t>
        </is>
      </c>
      <c r="B49" s="4" t="inlineStr">
        <is>
          <t>System-generated — logs, configurations without manual intervention</t>
        </is>
      </c>
    </row>
    <row r="50">
      <c r="A50" s="3" t="inlineStr">
        <is>
          <t>Rank 4</t>
        </is>
      </c>
      <c r="B50" s="4" t="inlineStr">
        <is>
          <t>Re-performance — auditor re-performs control procedure</t>
        </is>
      </c>
    </row>
    <row r="51">
      <c r="A51" s="3" t="inlineStr">
        <is>
          <t>Rank 5</t>
        </is>
      </c>
      <c r="B51" s="4" t="inlineStr">
        <is>
          <t>Documentary — policies, procedures, meeting minutes</t>
        </is>
      </c>
    </row>
    <row r="52">
      <c r="A52" s="3" t="inlineStr">
        <is>
          <t>Rank 6</t>
        </is>
      </c>
      <c r="B52" s="4" t="inlineStr">
        <is>
          <t>Inquiry — verbal representations from entity personnel</t>
        </is>
      </c>
    </row>
    <row r="54">
      <c r="A54" s="2" t="inlineStr">
        <is>
          <t>COMPLIANCE RATING SCALE</t>
        </is>
      </c>
    </row>
    <row r="55">
      <c r="A55" s="3" t="inlineStr">
        <is>
          <t>P — Patuh (Compliant)</t>
        </is>
      </c>
      <c r="B55" s="5" t="inlineStr">
        <is>
          <t>Requirement fully met: control exists, approved, applied, current, evidenced.</t>
        </is>
      </c>
    </row>
    <row r="56">
      <c r="A56" s="3" t="inlineStr">
        <is>
          <t>SP — Separa Patuh (Partially Compliant)</t>
        </is>
      </c>
      <c r="B56" s="5" t="inlineStr">
        <is>
          <t>Some elements exist but gaps remain; started but not completed; covers some but not all NCII systems.</t>
        </is>
      </c>
    </row>
    <row r="57">
      <c r="A57" s="3" t="inlineStr">
        <is>
          <t>TP — Tidak Patuh (Non-Compliant)</t>
        </is>
      </c>
      <c r="B57" s="5" t="inlineStr">
        <is>
          <t>Not met or no evidence; entity not aware of requirement; fundamentally inadequate.</t>
        </is>
      </c>
    </row>
    <row r="58">
      <c r="A58" s="3" t="inlineStr">
        <is>
          <t>TB — Tidak Berkenaan (Not Applicable)</t>
        </is>
      </c>
      <c r="B58" s="5" t="inlineStr">
        <is>
          <t>Justified exclusion — entity must provide written justification.</t>
        </is>
      </c>
    </row>
    <row r="60">
      <c r="A60" s="2" t="inlineStr">
        <is>
          <t>TIER CLASSIFICATION</t>
        </is>
      </c>
    </row>
    <row r="61">
      <c r="A61" s="3" t="inlineStr">
        <is>
          <t>Tier 1 (T1) — SHALL clauses</t>
        </is>
      </c>
      <c r="B61" s="5" t="inlineStr">
        <is>
          <t>Mandatory compliance. Rated P/SP/TP/TB. Non-compliance = potential finding.</t>
        </is>
      </c>
    </row>
    <row r="62">
      <c r="A62" s="3" t="inlineStr">
        <is>
          <t>Tier 2 (T2) — SHOULD/MAY clauses</t>
        </is>
      </c>
      <c r="B62" s="5" t="inlineStr">
        <is>
          <t>Improvement opportunity. Noted but NOT rated. No findings raised.</t>
        </is>
      </c>
    </row>
    <row r="64">
      <c r="A64" s="2" t="inlineStr">
        <is>
          <t>SAMPLING METHODOLOGY</t>
        </is>
      </c>
    </row>
    <row r="65">
      <c r="A65" s="3" t="inlineStr">
        <is>
          <t>Sampling Approach:</t>
        </is>
      </c>
      <c r="B65" s="5" t="inlineStr">
        <is>
          <t>Judgmental (not statistical) — appropriate for compliance and limited assurance engagements under Act 854.</t>
        </is>
      </c>
    </row>
    <row r="67">
      <c r="A67" s="3" t="inlineStr">
        <is>
          <t>Sample Size Table:</t>
        </is>
      </c>
    </row>
    <row r="68">
      <c r="A68" s="6" t="inlineStr">
        <is>
          <t>Population Size</t>
        </is>
      </c>
      <c r="B68" s="6" t="inlineStr">
        <is>
          <t>Standard Risk</t>
        </is>
      </c>
      <c r="C68" s="6" t="inlineStr">
        <is>
          <t>High Risk</t>
        </is>
      </c>
      <c r="D68" s="6" t="inlineStr">
        <is>
          <t>Rationale</t>
        </is>
      </c>
    </row>
    <row r="69">
      <c r="A69" s="7" t="inlineStr">
        <is>
          <t>1-5</t>
        </is>
      </c>
      <c r="B69" s="7" t="inlineStr">
        <is>
          <t>All</t>
        </is>
      </c>
      <c r="C69" s="7" t="inlineStr">
        <is>
          <t>All</t>
        </is>
      </c>
      <c r="D69" s="7" t="inlineStr">
        <is>
          <t>Full coverage feasible</t>
        </is>
      </c>
    </row>
    <row r="70">
      <c r="A70" s="7" t="inlineStr">
        <is>
          <t>6-15</t>
        </is>
      </c>
      <c r="B70" s="7" t="inlineStr">
        <is>
          <t>3</t>
        </is>
      </c>
      <c r="C70" s="7" t="inlineStr">
        <is>
          <t>5</t>
        </is>
      </c>
      <c r="D70" s="7" t="inlineStr">
        <is>
          <t>~25-40% coverage</t>
        </is>
      </c>
    </row>
    <row r="71">
      <c r="A71" s="7" t="inlineStr">
        <is>
          <t>16-50</t>
        </is>
      </c>
      <c r="B71" s="7" t="inlineStr">
        <is>
          <t>5</t>
        </is>
      </c>
      <c r="C71" s="7" t="inlineStr">
        <is>
          <t>8</t>
        </is>
      </c>
      <c r="D71" s="7" t="inlineStr">
        <is>
          <t>Sufficient for pattern detection</t>
        </is>
      </c>
    </row>
    <row r="72">
      <c r="A72" s="7" t="inlineStr">
        <is>
          <t>51-100</t>
        </is>
      </c>
      <c r="B72" s="7" t="inlineStr">
        <is>
          <t>8</t>
        </is>
      </c>
      <c r="C72" s="7" t="inlineStr">
        <is>
          <t>12</t>
        </is>
      </c>
      <c r="D72" s="7" t="inlineStr">
        <is>
          <t>Diminishing returns beyond this</t>
        </is>
      </c>
    </row>
    <row r="73">
      <c r="A73" s="7" t="inlineStr">
        <is>
          <t>100+</t>
        </is>
      </c>
      <c r="B73" s="7" t="inlineStr">
        <is>
          <t>10</t>
        </is>
      </c>
      <c r="C73" s="7" t="inlineStr">
        <is>
          <t>15</t>
        </is>
      </c>
      <c r="D73" s="7" t="inlineStr">
        <is>
          <t>Cap with stratification</t>
        </is>
      </c>
    </row>
    <row r="75">
      <c r="A75" s="3" t="inlineStr">
        <is>
          <t>Time-Based Evidence Coverage:</t>
        </is>
      </c>
    </row>
    <row r="76">
      <c r="A76" s="6" t="inlineStr">
        <is>
          <t>Evidence Type</t>
        </is>
      </c>
      <c r="B76" s="6" t="inlineStr">
        <is>
          <t>Coverage Period</t>
        </is>
      </c>
      <c r="C76" s="6" t="inlineStr">
        <is>
          <t>Rationale</t>
        </is>
      </c>
    </row>
    <row r="77">
      <c r="A77" s="7" t="inlineStr">
        <is>
          <t>Board/committee reports</t>
        </is>
      </c>
      <c r="B77" s="7" t="inlineStr">
        <is>
          <t>Last 4 quarters</t>
        </is>
      </c>
      <c r="C77" s="7" t="inlineStr">
        <is>
          <t>Full annual governance cycle</t>
        </is>
      </c>
    </row>
    <row r="78">
      <c r="A78" s="7" t="inlineStr">
        <is>
          <t>Operational records (incidents, changes, patches)</t>
        </is>
      </c>
      <c r="B78" s="7" t="inlineStr">
        <is>
          <t>Last 3-6 months</t>
        </is>
      </c>
      <c r="C78" s="7" t="inlineStr">
        <is>
          <t>Recent operating effectiveness</t>
        </is>
      </c>
    </row>
    <row r="79">
      <c r="A79" s="7" t="inlineStr">
        <is>
          <t>Annual processes (risk assessment, DR test, pentest)</t>
        </is>
      </c>
      <c r="B79" s="7" t="inlineStr">
        <is>
          <t>Last 12 months</t>
        </is>
      </c>
      <c r="C79" s="7" t="inlineStr">
        <is>
          <t>Full cycle</t>
        </is>
      </c>
    </row>
    <row r="80">
      <c r="A80" s="7" t="inlineStr">
        <is>
          <t>Continuous monitoring (SOC, logs, alerts)</t>
        </is>
      </c>
      <c r="B80" s="7" t="inlineStr">
        <is>
          <t>Last 30 days</t>
        </is>
      </c>
      <c r="C80" s="7" t="inlineStr">
        <is>
          <t>Current state verification</t>
        </is>
      </c>
    </row>
    <row r="81">
      <c r="A81" s="7" t="inlineStr">
        <is>
          <t>Policies and frameworks</t>
        </is>
      </c>
      <c r="B81" s="7" t="inlineStr">
        <is>
          <t>Current version + prior</t>
        </is>
      </c>
      <c r="C81" s="7" t="inlineStr">
        <is>
          <t>Change tracking</t>
        </is>
      </c>
    </row>
    <row r="83">
      <c r="A83" s="2" t="inlineStr">
        <is>
          <t>LIMITATIONS</t>
        </is>
      </c>
    </row>
    <row r="84">
      <c r="A84" s="5" t="inlineStr">
        <is>
          <t>1. Limited assurance engagement — conclusions based on procedures performed, not absolute assurance.</t>
        </is>
      </c>
    </row>
    <row r="85">
      <c r="A85" s="5" t="inlineStr">
        <is>
          <t>2. Point-in-time (design adequacy) or period assessment (operating effectiveness).</t>
        </is>
      </c>
    </row>
    <row r="86">
      <c r="A86" s="5" t="inlineStr">
        <is>
          <t>3. Reliance on management representations and documentation provided.</t>
        </is>
      </c>
    </row>
    <row r="87">
      <c r="A87" s="5" t="inlineStr">
        <is>
          <t>4. Scope guided by Cyber Security Act 2024 (Act 854) and CoP Template v1.6.</t>
        </is>
      </c>
    </row>
    <row r="88">
      <c r="A88" s="5" t="inlineStr">
        <is>
          <t>5. Does not constitute legal or regulatory advice.</t>
        </is>
      </c>
    </row>
    <row r="89">
      <c r="A89" s="5" t="inlineStr">
        <is>
          <t>6. The auditor remains solely responsible for the sufficiency of work performed.</t>
        </is>
      </c>
    </row>
    <row r="91">
      <c r="A91" s="2" t="inlineStr">
        <is>
          <t>SIGN-OFF</t>
        </is>
      </c>
    </row>
    <row r="92">
      <c r="A92" s="3" t="inlineStr">
        <is>
          <t>Lead Auditor:</t>
        </is>
      </c>
      <c r="B92" s="4" t="inlineStr">
        <is>
          <t>________________________</t>
        </is>
      </c>
      <c r="F92" s="3" t="inlineStr">
        <is>
          <t>Date:</t>
        </is>
      </c>
      <c r="G92" s="4" t="inlineStr">
        <is>
          <t>______________</t>
        </is>
      </c>
    </row>
    <row r="93">
      <c r="A93" s="3" t="inlineStr">
        <is>
          <t>Engagement Partner:</t>
        </is>
      </c>
      <c r="B93" s="4" t="inlineStr">
        <is>
          <t>________________________</t>
        </is>
      </c>
      <c r="F93" s="3" t="inlineStr">
        <is>
          <t>Date:</t>
        </is>
      </c>
      <c r="G93" s="4" t="inlineStr">
        <is>
          <t>______________</t>
        </is>
      </c>
    </row>
    <row r="94">
      <c r="A94" s="3" t="inlineStr">
        <is>
          <t>Entity Representative:</t>
        </is>
      </c>
      <c r="B94" s="4" t="inlineStr">
        <is>
          <t>________________________</t>
        </is>
      </c>
      <c r="F94" s="3" t="inlineStr">
        <is>
          <t>Date:</t>
        </is>
      </c>
      <c r="G94" s="4" t="inlineStr">
        <is>
          <t>______________</t>
        </is>
      </c>
    </row>
    <row r="96">
      <c r="A96" s="8" t="inlineStr">
        <is>
          <t>Generated: 2026-04-01 | Library v4.0.0 (CoP Template v1.6 verbatim clauses) | AWP v5.0 (14-column IESP pattern)</t>
        </is>
      </c>
    </row>
  </sheetData>
  <mergeCells count="34">
    <mergeCell ref="A31:N31"/>
    <mergeCell ref="A39:N39"/>
    <mergeCell ref="A83:N83"/>
    <mergeCell ref="A24:N24"/>
    <mergeCell ref="A30:N30"/>
    <mergeCell ref="B65:N65"/>
    <mergeCell ref="A64:N64"/>
    <mergeCell ref="A60:N60"/>
    <mergeCell ref="A1:N1"/>
    <mergeCell ref="A88:N88"/>
    <mergeCell ref="A87:N87"/>
    <mergeCell ref="A54:N54"/>
    <mergeCell ref="A25:N25"/>
    <mergeCell ref="A46:N46"/>
    <mergeCell ref="A84:N84"/>
    <mergeCell ref="A89:N89"/>
    <mergeCell ref="A18:N18"/>
    <mergeCell ref="A27:N27"/>
    <mergeCell ref="A26:N26"/>
    <mergeCell ref="A21:N21"/>
    <mergeCell ref="A2:N2"/>
    <mergeCell ref="A86:N86"/>
    <mergeCell ref="A33:N33"/>
    <mergeCell ref="A85:N85"/>
    <mergeCell ref="A23:N23"/>
    <mergeCell ref="A32:N32"/>
    <mergeCell ref="A22:N22"/>
    <mergeCell ref="A91:N91"/>
    <mergeCell ref="A35:N35"/>
    <mergeCell ref="A4:N4"/>
    <mergeCell ref="A96:N96"/>
    <mergeCell ref="A29:N29"/>
    <mergeCell ref="A19:N19"/>
    <mergeCell ref="A28:N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6" customWidth="1" min="1" max="1"/>
    <col width="25" customWidth="1" min="2" max="2"/>
    <col width="35" customWidth="1" min="3" max="3"/>
    <col width="16" customWidth="1" min="4" max="4"/>
    <col width="14" customWidth="1" min="5" max="5"/>
    <col width="14" customWidth="1" min="6" max="6"/>
    <col width="16" customWidth="1" min="7" max="7"/>
    <col width="14" customWidth="1" min="8" max="8"/>
    <col width="20" customWidth="1" min="9" max="9"/>
  </cols>
  <sheetData>
    <row r="1">
      <c r="A1" s="1" t="inlineStr">
        <is>
          <t>ENGAGEMENT SCOPING</t>
        </is>
      </c>
    </row>
    <row r="3">
      <c r="A3" s="2" t="inlineStr">
        <is>
          <t>ASSESSMENT LEVELS</t>
        </is>
      </c>
    </row>
    <row r="4">
      <c r="A4" s="3" t="inlineStr">
        <is>
          <t>ORG</t>
        </is>
      </c>
      <c r="B4" s="5" t="inlineStr">
        <is>
          <t>Organisation-level. Assessed ONCE per engagement. Policies, governance, frameworks that apply across all NCII systems.</t>
        </is>
      </c>
    </row>
    <row r="5">
      <c r="A5" s="3" t="inlineStr">
        <is>
          <t>SYSTEM</t>
        </is>
      </c>
      <c r="B5" s="5" t="inlineStr">
        <is>
          <t>NCII System-level. Assessed PER NCII SYSTEM in scope. System-specific configurations and technical controls.</t>
        </is>
      </c>
    </row>
    <row r="7">
      <c r="A7" s="2" t="inlineStr">
        <is>
          <t>NCII SYSTEM REGISTER</t>
        </is>
      </c>
    </row>
    <row r="8">
      <c r="A8" s="8" t="inlineStr">
        <is>
          <t>Populate from entity risk register. This drives all system-level testing in domain worksheets.</t>
        </is>
      </c>
    </row>
    <row r="9">
      <c r="A9" s="9" t="inlineStr">
        <is>
          <t>#</t>
        </is>
      </c>
      <c r="B9" s="9" t="inlineStr">
        <is>
          <t>System Name</t>
        </is>
      </c>
      <c r="C9" s="9" t="inlineStr">
        <is>
          <t>Description</t>
        </is>
      </c>
      <c r="D9" s="9" t="inlineStr">
        <is>
          <t>Classification</t>
        </is>
      </c>
      <c r="E9" s="9" t="inlineStr">
        <is>
          <t>Location</t>
        </is>
      </c>
      <c r="F9" s="9" t="inlineStr">
        <is>
          <t>Owner</t>
        </is>
      </c>
      <c r="G9" s="9" t="inlineStr">
        <is>
          <t>In Risk Register?</t>
        </is>
      </c>
      <c r="H9" s="9" t="inlineStr">
        <is>
          <t>In Audit Scope?</t>
        </is>
      </c>
      <c r="I9" s="9" t="inlineStr">
        <is>
          <t>Notes</t>
        </is>
      </c>
    </row>
    <row r="10">
      <c r="A10" s="10" t="inlineStr">
        <is>
          <t>1</t>
        </is>
      </c>
      <c r="B10" s="10" t="inlineStr">
        <is>
          <t>[System 1]</t>
        </is>
      </c>
      <c r="C10" s="10" t="inlineStr">
        <is>
          <t>[Description]</t>
        </is>
      </c>
      <c r="D10" s="10" t="inlineStr">
        <is>
          <t>[Critical/High/Medium]</t>
        </is>
      </c>
      <c r="E10" s="10" t="inlineStr">
        <is>
          <t>[Location]</t>
        </is>
      </c>
      <c r="F10" s="10" t="inlineStr">
        <is>
          <t>[Owner]</t>
        </is>
      </c>
      <c r="G10" s="10" t="inlineStr">
        <is>
          <t>Y/N</t>
        </is>
      </c>
      <c r="H10" s="10" t="inlineStr">
        <is>
          <t>Y/N</t>
        </is>
      </c>
      <c r="I10" s="10" t="inlineStr"/>
    </row>
    <row r="11">
      <c r="A11" s="10" t="inlineStr">
        <is>
          <t>2</t>
        </is>
      </c>
      <c r="B11" s="10" t="inlineStr">
        <is>
          <t>[System 2]</t>
        </is>
      </c>
      <c r="C11" s="10" t="inlineStr">
        <is>
          <t>[Description]</t>
        </is>
      </c>
      <c r="D11" s="10" t="inlineStr">
        <is>
          <t>[Critical/High/Medium]</t>
        </is>
      </c>
      <c r="E11" s="10" t="inlineStr">
        <is>
          <t>[Location]</t>
        </is>
      </c>
      <c r="F11" s="10" t="inlineStr">
        <is>
          <t>[Owner]</t>
        </is>
      </c>
      <c r="G11" s="10" t="inlineStr">
        <is>
          <t>Y/N</t>
        </is>
      </c>
      <c r="H11" s="10" t="inlineStr">
        <is>
          <t>Y/N</t>
        </is>
      </c>
      <c r="I11" s="10" t="inlineStr"/>
    </row>
    <row r="12">
      <c r="A12" s="10" t="inlineStr">
        <is>
          <t>3</t>
        </is>
      </c>
      <c r="B12" s="10" t="inlineStr">
        <is>
          <t>[System 3]</t>
        </is>
      </c>
      <c r="C12" s="10" t="inlineStr">
        <is>
          <t>[Description]</t>
        </is>
      </c>
      <c r="D12" s="10" t="inlineStr">
        <is>
          <t>[Critical/High/Medium]</t>
        </is>
      </c>
      <c r="E12" s="10" t="inlineStr">
        <is>
          <t>[Location]</t>
        </is>
      </c>
      <c r="F12" s="10" t="inlineStr">
        <is>
          <t>[Owner]</t>
        </is>
      </c>
      <c r="G12" s="10" t="inlineStr">
        <is>
          <t>Y/N</t>
        </is>
      </c>
      <c r="H12" s="10" t="inlineStr">
        <is>
          <t>Y/N</t>
        </is>
      </c>
      <c r="I12" s="10" t="inlineStr"/>
    </row>
    <row r="13">
      <c r="A13" s="11" t="n"/>
      <c r="B13" s="11" t="n"/>
      <c r="C13" s="11" t="n"/>
      <c r="D13" s="11" t="n"/>
      <c r="E13" s="11" t="n"/>
      <c r="F13" s="11" t="n"/>
      <c r="G13" s="11" t="n"/>
      <c r="H13" s="11" t="n"/>
      <c r="I13" s="11" t="n"/>
    </row>
    <row r="14">
      <c r="A14" s="11" t="n"/>
      <c r="B14" s="11" t="n"/>
      <c r="C14" s="11" t="n"/>
      <c r="D14" s="11" t="n"/>
      <c r="E14" s="11" t="n"/>
      <c r="F14" s="11" t="n"/>
      <c r="G14" s="11" t="n"/>
      <c r="H14" s="11" t="n"/>
      <c r="I14" s="11" t="n"/>
    </row>
    <row r="15">
      <c r="A15" s="11" t="n"/>
      <c r="B15" s="11" t="n"/>
      <c r="C15" s="11" t="n"/>
      <c r="D15" s="11" t="n"/>
      <c r="E15" s="11" t="n"/>
      <c r="F15" s="11" t="n"/>
      <c r="G15" s="11" t="n"/>
      <c r="H15" s="11" t="n"/>
      <c r="I15" s="11" t="n"/>
    </row>
    <row r="16">
      <c r="A16" s="11" t="n"/>
      <c r="B16" s="11" t="n"/>
      <c r="C16" s="11" t="n"/>
      <c r="D16" s="11" t="n"/>
      <c r="E16" s="11" t="n"/>
      <c r="F16" s="11" t="n"/>
      <c r="G16" s="11" t="n"/>
      <c r="H16" s="11" t="n"/>
      <c r="I16" s="11" t="n"/>
    </row>
    <row r="17">
      <c r="A17" s="11" t="n"/>
      <c r="B17" s="11" t="n"/>
      <c r="C17" s="11" t="n"/>
      <c r="D17" s="11" t="n"/>
      <c r="E17" s="11" t="n"/>
      <c r="F17" s="11" t="n"/>
      <c r="G17" s="11" t="n"/>
      <c r="H17" s="11" t="n"/>
      <c r="I17" s="11" t="n"/>
    </row>
    <row r="18">
      <c r="A18" s="11" t="n"/>
      <c r="B18" s="11" t="n"/>
      <c r="C18" s="11" t="n"/>
      <c r="D18" s="11" t="n"/>
      <c r="E18" s="11" t="n"/>
      <c r="F18" s="11" t="n"/>
      <c r="G18" s="11" t="n"/>
      <c r="H18" s="11" t="n"/>
      <c r="I18" s="11" t="n"/>
    </row>
    <row r="19">
      <c r="A19" s="11" t="n"/>
      <c r="B19" s="11" t="n"/>
      <c r="C19" s="11" t="n"/>
      <c r="D19" s="11" t="n"/>
      <c r="E19" s="11" t="n"/>
      <c r="F19" s="11" t="n"/>
      <c r="G19" s="11" t="n"/>
      <c r="H19" s="11" t="n"/>
      <c r="I19" s="11" t="n"/>
    </row>
    <row r="21">
      <c r="A21" s="2" t="inlineStr">
        <is>
          <t>SAMPLING APPROACH</t>
        </is>
      </c>
    </row>
    <row r="22">
      <c r="A22" s="3" t="inlineStr">
        <is>
          <t>Assessment Period:</t>
        </is>
      </c>
      <c r="B22" s="4" t="inlineStr">
        <is>
          <t>[Start Date] to [End Date]</t>
        </is>
      </c>
    </row>
    <row r="23">
      <c r="A23" s="3" t="inlineStr">
        <is>
          <t>NCII Systems in Scope:</t>
        </is>
      </c>
      <c r="B23" s="4" t="inlineStr">
        <is>
          <t>[From register above]</t>
        </is>
      </c>
    </row>
    <row r="24">
      <c r="A24" s="3" t="inlineStr">
        <is>
          <t>System-Level Sampling:</t>
        </is>
      </c>
      <c r="B24" s="4" t="inlineStr">
        <is>
          <t>1-5: Full population | 6-15: All critical + sample | 16+: Risk-based sample</t>
        </is>
      </c>
    </row>
    <row r="25">
      <c r="A25" s="3" t="inlineStr">
        <is>
          <t>User Access Samples:</t>
        </is>
      </c>
      <c r="B25" s="4" t="inlineStr">
        <is>
          <t>[e.g., 20 user accounts, 10 leavers/transfers]</t>
        </is>
      </c>
    </row>
    <row r="26">
      <c r="A26" s="3" t="inlineStr">
        <is>
          <t>Change Management Samples:</t>
        </is>
      </c>
      <c r="B26" s="4" t="inlineStr">
        <is>
          <t>[e.g., 10 recent changes]</t>
        </is>
      </c>
    </row>
    <row r="27">
      <c r="A27" s="3" t="inlineStr">
        <is>
          <t>Incident Samples:</t>
        </is>
      </c>
      <c r="B27" s="4" t="inlineStr">
        <is>
          <t>[e.g., 15 SOC alerts, all significant incidents in period]</t>
        </is>
      </c>
    </row>
  </sheetData>
  <mergeCells count="13">
    <mergeCell ref="A7:I7"/>
    <mergeCell ref="B25:I25"/>
    <mergeCell ref="A21:I21"/>
    <mergeCell ref="B24:I24"/>
    <mergeCell ref="A1:I1"/>
    <mergeCell ref="B5:I5"/>
    <mergeCell ref="A8:I8"/>
    <mergeCell ref="A3:I3"/>
    <mergeCell ref="B22:I22"/>
    <mergeCell ref="B23:I23"/>
    <mergeCell ref="B27:I27"/>
    <mergeCell ref="B4:I4"/>
    <mergeCell ref="B26:I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8" customWidth="1" min="1" max="1"/>
    <col width="50" customWidth="1" min="2" max="2"/>
    <col width="20" customWidth="1" min="3" max="3"/>
    <col width="15" customWidth="1" min="4" max="4"/>
    <col width="30" customWidth="1" min="5" max="5"/>
  </cols>
  <sheetData>
    <row r="1">
      <c r="A1" s="1" t="inlineStr">
        <is>
          <t>PRE-ENGAGEMENT PLANNING CHECKLIST</t>
        </is>
      </c>
    </row>
    <row r="2">
      <c r="A2" s="8" t="inlineStr">
        <is>
          <t>Per CE Directive 08 audit process requirements.</t>
        </is>
      </c>
    </row>
    <row r="4">
      <c r="A4" s="9" t="inlineStr">
        <is>
          <t>Step</t>
        </is>
      </c>
      <c r="B4" s="9" t="inlineStr">
        <is>
          <t>Activity</t>
        </is>
      </c>
      <c r="C4" s="9" t="inlineStr">
        <is>
          <t>Responsible</t>
        </is>
      </c>
      <c r="D4" s="9" t="inlineStr">
        <is>
          <t>Status</t>
        </is>
      </c>
      <c r="E4" s="9" t="inlineStr">
        <is>
          <t>Notes</t>
        </is>
      </c>
    </row>
    <row r="5">
      <c r="A5" s="7" t="inlineStr">
        <is>
          <t>P-01</t>
        </is>
      </c>
      <c r="B5" s="7" t="inlineStr">
        <is>
          <t>Confirm auditor appointment approved by CE NACSA (CED-08)</t>
        </is>
      </c>
      <c r="C5" s="7" t="inlineStr"/>
      <c r="D5" s="7" t="inlineStr"/>
      <c r="E5" s="7" t="inlineStr"/>
    </row>
    <row r="6">
      <c r="A6" s="7" t="inlineStr">
        <is>
          <t>P-02</t>
        </is>
      </c>
      <c r="B6" s="7" t="inlineStr">
        <is>
          <t>Sign NDA with NACSA (CED-08 requirement)</t>
        </is>
      </c>
      <c r="C6" s="7" t="inlineStr"/>
      <c r="D6" s="7" t="inlineStr"/>
      <c r="E6" s="7" t="inlineStr"/>
    </row>
    <row r="7">
      <c r="A7" s="7" t="inlineStr">
        <is>
          <t>P-03</t>
        </is>
      </c>
      <c r="B7" s="7" t="inlineStr">
        <is>
          <t>Issue engagement letter with scope, timeline, and deliverables</t>
        </is>
      </c>
      <c r="C7" s="7" t="inlineStr"/>
      <c r="D7" s="7" t="inlineStr"/>
      <c r="E7" s="7" t="inlineStr"/>
    </row>
    <row r="8">
      <c r="A8" s="7" t="inlineStr">
        <is>
          <t>P-04</t>
        </is>
      </c>
      <c r="B8" s="7" t="inlineStr">
        <is>
          <t>Confirm audit team qualifications and independence</t>
        </is>
      </c>
      <c r="C8" s="7" t="inlineStr"/>
      <c r="D8" s="7" t="inlineStr"/>
      <c r="E8" s="7" t="inlineStr"/>
    </row>
    <row r="9">
      <c r="A9" s="7" t="inlineStr">
        <is>
          <t>P-05</t>
        </is>
      </c>
      <c r="B9" s="7" t="inlineStr">
        <is>
          <t>Issue Pre-Engagement Document Request List (PBC) to entity</t>
        </is>
      </c>
      <c r="C9" s="7" t="inlineStr"/>
      <c r="D9" s="7" t="inlineStr"/>
      <c r="E9" s="7" t="inlineStr"/>
    </row>
    <row r="10">
      <c r="A10" s="7" t="inlineStr">
        <is>
          <t>P-06</t>
        </is>
      </c>
      <c r="B10" s="7" t="inlineStr">
        <is>
          <t>Obtain and review prior audit/RA reports and remediation status</t>
        </is>
      </c>
      <c r="C10" s="7" t="inlineStr"/>
      <c r="D10" s="7" t="inlineStr"/>
      <c r="E10" s="7" t="inlineStr"/>
    </row>
    <row r="11">
      <c r="A11" s="7" t="inlineStr">
        <is>
          <t>P-07</t>
        </is>
      </c>
      <c r="B11" s="7" t="inlineStr">
        <is>
          <t>Identify NCII systems in scope and complete scoping sheet</t>
        </is>
      </c>
      <c r="C11" s="7" t="inlineStr"/>
      <c r="D11" s="7" t="inlineStr"/>
      <c r="E11" s="7" t="inlineStr"/>
    </row>
    <row r="12">
      <c r="A12" s="7" t="inlineStr">
        <is>
          <t>P-08</t>
        </is>
      </c>
      <c r="B12" s="7" t="inlineStr">
        <is>
          <t>Define assessment period and sampling approach</t>
        </is>
      </c>
      <c r="C12" s="7" t="inlineStr"/>
      <c r="D12" s="7" t="inlineStr"/>
      <c r="E12" s="7" t="inlineStr"/>
    </row>
    <row r="13">
      <c r="A13" s="7" t="inlineStr">
        <is>
          <t>P-09</t>
        </is>
      </c>
      <c r="B13" s="7" t="inlineStr">
        <is>
          <t>Determine assessment approaches elected (2 mandatory + optional)</t>
        </is>
      </c>
      <c r="C13" s="7" t="inlineStr"/>
      <c r="D13" s="7" t="inlineStr"/>
      <c r="E13" s="7" t="inlineStr"/>
    </row>
    <row r="14">
      <c r="A14" s="7" t="inlineStr">
        <is>
          <t>P-10</t>
        </is>
      </c>
      <c r="B14" s="7" t="inlineStr">
        <is>
          <t>Schedule on-site visits and remote assessment sessions</t>
        </is>
      </c>
      <c r="C14" s="7" t="inlineStr"/>
      <c r="D14" s="7" t="inlineStr"/>
      <c r="E14" s="7" t="inlineStr"/>
    </row>
    <row r="15">
      <c r="A15" s="7" t="inlineStr">
        <is>
          <t>P-11</t>
        </is>
      </c>
      <c r="B15" s="7" t="inlineStr">
        <is>
          <t>Conduct kick-off meeting with entity management</t>
        </is>
      </c>
      <c r="C15" s="7" t="inlineStr"/>
      <c r="D15" s="7" t="inlineStr"/>
      <c r="E15" s="7" t="inlineStr"/>
    </row>
    <row r="16">
      <c r="A16" s="7" t="inlineStr">
        <is>
          <t>P-12</t>
        </is>
      </c>
      <c r="B16" s="7" t="inlineStr">
        <is>
          <t>Receive and catalogue PBC responses</t>
        </is>
      </c>
      <c r="C16" s="7" t="inlineStr"/>
      <c r="D16" s="7" t="inlineStr"/>
      <c r="E16" s="7" t="inlineStr"/>
    </row>
    <row r="17">
      <c r="A17" s="7" t="inlineStr">
        <is>
          <t>P-13</t>
        </is>
      </c>
      <c r="B17" s="7" t="inlineStr">
        <is>
          <t>Finalise scoping memorandum</t>
        </is>
      </c>
      <c r="C17" s="7" t="inlineStr"/>
      <c r="D17" s="7" t="inlineStr"/>
      <c r="E17" s="7" t="inlineStr"/>
    </row>
    <row r="18">
      <c r="A18" s="7" t="inlineStr">
        <is>
          <t>P-14</t>
        </is>
      </c>
      <c r="B18" s="7" t="inlineStr">
        <is>
          <t>Confirm legal practitioner engagement (Mode A/B)</t>
        </is>
      </c>
      <c r="C18" s="7" t="inlineStr"/>
      <c r="D18" s="7" t="inlineStr"/>
      <c r="E18" s="7"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10" customWidth="1" min="1" max="1"/>
    <col width="28" customWidth="1" min="2" max="2"/>
    <col width="40" customWidth="1" min="3" max="3"/>
    <col width="12" customWidth="1" min="4" max="4"/>
    <col width="22" customWidth="1" min="5" max="5"/>
    <col width="12" customWidth="1" min="6" max="6"/>
    <col width="35" customWidth="1" min="7" max="7"/>
    <col width="12" customWidth="1" min="8" max="8"/>
    <col width="30" customWidth="1" min="9" max="9"/>
    <col width="30" customWidth="1" min="10" max="10"/>
  </cols>
  <sheetData>
    <row r="1">
      <c r="A1" s="12" t="inlineStr">
        <is>
          <t>STATUTORY &amp; LEGAL OVERLAY — Act 854</t>
        </is>
      </c>
    </row>
    <row r="3">
      <c r="A3" s="2" t="inlineStr">
        <is>
          <t>SECTION A: STATUTORY OBLIGATIONS (s17-s26)</t>
        </is>
      </c>
    </row>
    <row r="4">
      <c r="A4" s="13" t="inlineStr">
        <is>
          <t>Section</t>
        </is>
      </c>
      <c r="B4" s="13" t="inlineStr">
        <is>
          <t>Obligation</t>
        </is>
      </c>
      <c r="C4" s="13" t="inlineStr">
        <is>
          <t>Requirement Summary</t>
        </is>
      </c>
      <c r="D4" s="13" t="inlineStr">
        <is>
          <t>Penalty Ref</t>
        </is>
      </c>
      <c r="E4" s="13" t="inlineStr">
        <is>
          <t>Penalty</t>
        </is>
      </c>
      <c r="F4" s="13" t="inlineStr">
        <is>
          <t>Compoundable?</t>
        </is>
      </c>
      <c r="G4" s="13" t="inlineStr">
        <is>
          <t>Expected Evidence</t>
        </is>
      </c>
      <c r="H4" s="13" t="inlineStr">
        <is>
          <t>Status
(Met/Not Met)</t>
        </is>
      </c>
      <c r="I4" s="13" t="inlineStr">
        <is>
          <t>Tech Auditor Notes</t>
        </is>
      </c>
      <c r="J4" s="13" t="inlineStr">
        <is>
          <t>Legal Practitioner Notes</t>
        </is>
      </c>
    </row>
    <row r="5">
      <c r="A5" s="7" t="inlineStr">
        <is>
          <t>s17</t>
        </is>
      </c>
      <c r="B5" s="7" t="inlineStr">
        <is>
          <t>NCII Entity Designation</t>
        </is>
      </c>
      <c r="C5" s="7" t="inlineStr">
        <is>
          <t>Respond to designation notice within prescribed timeframe</t>
        </is>
      </c>
      <c r="D5" s="7" t="inlineStr">
        <is>
          <t>s18(1)(a)</t>
        </is>
      </c>
      <c r="E5" s="7" t="inlineStr">
        <is>
          <t>RM500,000 / 10 years</t>
        </is>
      </c>
      <c r="F5" s="7" t="inlineStr">
        <is>
          <t>Yes (s55)</t>
        </is>
      </c>
      <c r="G5" s="7" t="inlineStr">
        <is>
          <t>Entity registration, designation acknowledgement</t>
        </is>
      </c>
      <c r="H5" s="7" t="inlineStr"/>
      <c r="I5" s="7" t="inlineStr"/>
      <c r="J5" s="7" t="inlineStr"/>
    </row>
    <row r="6">
      <c r="A6" s="7" t="inlineStr">
        <is>
          <t>s18</t>
        </is>
      </c>
      <c r="B6" s="7" t="inlineStr">
        <is>
          <t>General NCII Duties</t>
        </is>
      </c>
      <c r="C6" s="7" t="inlineStr">
        <is>
          <t>Implement and maintain cyber security measures to protect NCII</t>
        </is>
      </c>
      <c r="D6" s="7" t="inlineStr">
        <is>
          <t>s18(2)</t>
        </is>
      </c>
      <c r="E6" s="7" t="inlineStr">
        <is>
          <t>RM500,000 / 10 years</t>
        </is>
      </c>
      <c r="F6" s="7" t="inlineStr">
        <is>
          <t>Yes (s55)</t>
        </is>
      </c>
      <c r="G6" s="7" t="inlineStr">
        <is>
          <t>Comprehensive controls across all CoP domains</t>
        </is>
      </c>
      <c r="H6" s="7" t="inlineStr"/>
      <c r="I6" s="7" t="inlineStr"/>
      <c r="J6" s="7" t="inlineStr"/>
    </row>
    <row r="7">
      <c r="A7" s="7" t="inlineStr">
        <is>
          <t>s20</t>
        </is>
      </c>
      <c r="B7" s="7" t="inlineStr">
        <is>
          <t>Information Provision</t>
        </is>
      </c>
      <c r="C7" s="7" t="inlineStr">
        <is>
          <t>Provide information/documents when required by CE</t>
        </is>
      </c>
      <c r="D7" s="7" t="inlineStr">
        <is>
          <t>s20(3)</t>
        </is>
      </c>
      <c r="E7" s="7" t="inlineStr">
        <is>
          <t>RM200,000 / 3 years</t>
        </is>
      </c>
      <c r="F7" s="7" t="inlineStr">
        <is>
          <t>Yes (s55)</t>
        </is>
      </c>
      <c r="G7" s="7" t="inlineStr">
        <is>
          <t>Response records, submission logs</t>
        </is>
      </c>
      <c r="H7" s="7" t="inlineStr"/>
      <c r="I7" s="7" t="inlineStr"/>
      <c r="J7" s="7" t="inlineStr"/>
    </row>
    <row r="8">
      <c r="A8" s="14" t="inlineStr">
        <is>
          <t>s20(4)</t>
        </is>
      </c>
      <c r="B8" s="14" t="inlineStr">
        <is>
          <t>False/Misleading Information</t>
        </is>
      </c>
      <c r="C8" s="14" t="inlineStr">
        <is>
          <t>Ensure accuracy of all information provided to CE</t>
        </is>
      </c>
      <c r="D8" s="14" t="inlineStr">
        <is>
          <t>s20(4)</t>
        </is>
      </c>
      <c r="E8" s="14" t="inlineStr">
        <is>
          <t>RM300,000 / 5 years</t>
        </is>
      </c>
      <c r="F8" s="14" t="inlineStr">
        <is>
          <t>No</t>
        </is>
      </c>
      <c r="G8" s="14" t="inlineStr">
        <is>
          <t>Accuracy verification process</t>
        </is>
      </c>
      <c r="H8" s="14" t="inlineStr"/>
      <c r="I8" s="14" t="inlineStr"/>
      <c r="J8" s="14" t="inlineStr"/>
    </row>
    <row r="9">
      <c r="A9" s="7" t="inlineStr">
        <is>
          <t>s21</t>
        </is>
      </c>
      <c r="B9" s="7" t="inlineStr">
        <is>
          <t>Risk Assessment</t>
        </is>
      </c>
      <c r="C9" s="7" t="inlineStr">
        <is>
          <t>Conduct annual RA by CE-approved persons, submit within 30 days</t>
        </is>
      </c>
      <c r="D9" s="7" t="inlineStr">
        <is>
          <t>s21(3)</t>
        </is>
      </c>
      <c r="E9" s="7" t="inlineStr">
        <is>
          <t>RM500,000 / 10 years</t>
        </is>
      </c>
      <c r="F9" s="7" t="inlineStr">
        <is>
          <t>Yes (s55)</t>
        </is>
      </c>
      <c r="G9" s="7" t="inlineStr">
        <is>
          <t>RA report, assessor approval, submission confirmation</t>
        </is>
      </c>
      <c r="H9" s="7" t="inlineStr"/>
      <c r="I9" s="7" t="inlineStr"/>
      <c r="J9" s="7" t="inlineStr"/>
    </row>
    <row r="10">
      <c r="A10" s="7" t="inlineStr">
        <is>
          <t>s22</t>
        </is>
      </c>
      <c r="B10" s="7" t="inlineStr">
        <is>
          <t>Code of Practice Compliance</t>
        </is>
      </c>
      <c r="C10" s="7" t="inlineStr">
        <is>
          <t>Comply with sector-specific CoP approved by CE</t>
        </is>
      </c>
      <c r="D10" s="7" t="inlineStr">
        <is>
          <t>s22(2)</t>
        </is>
      </c>
      <c r="E10" s="7" t="inlineStr">
        <is>
          <t>RM200,000 / 3 years</t>
        </is>
      </c>
      <c r="F10" s="7" t="inlineStr">
        <is>
          <t>Yes (s55)</t>
        </is>
      </c>
      <c r="G10" s="7" t="inlineStr">
        <is>
          <t>CoP compliance assessment, gap tracker</t>
        </is>
      </c>
      <c r="H10" s="7" t="inlineStr"/>
      <c r="I10" s="7" t="inlineStr"/>
      <c r="J10" s="7" t="inlineStr"/>
    </row>
    <row r="11">
      <c r="A11" s="7" t="inlineStr">
        <is>
          <t>s23</t>
        </is>
      </c>
      <c r="B11" s="7" t="inlineStr">
        <is>
          <t>Cyber Security Audit</t>
        </is>
      </c>
      <c r="C11" s="7" t="inlineStr">
        <is>
          <t>Conduct biennial audit by CE-approved auditor, submit within 30 days</t>
        </is>
      </c>
      <c r="D11" s="7" t="inlineStr">
        <is>
          <t>s23(3)</t>
        </is>
      </c>
      <c r="E11" s="7" t="inlineStr">
        <is>
          <t>RM500,000 / 10 years</t>
        </is>
      </c>
      <c r="F11" s="7" t="inlineStr">
        <is>
          <t>Yes (s55)</t>
        </is>
      </c>
      <c r="G11" s="7" t="inlineStr">
        <is>
          <t>Audit report, auditor approval, submission confirmation</t>
        </is>
      </c>
      <c r="H11" s="7" t="inlineStr"/>
      <c r="I11" s="7" t="inlineStr"/>
      <c r="J11" s="7" t="inlineStr"/>
    </row>
    <row r="12">
      <c r="A12" s="7" t="inlineStr">
        <is>
          <t>s24</t>
        </is>
      </c>
      <c r="B12" s="7" t="inlineStr">
        <is>
          <t>Standards Compliance</t>
        </is>
      </c>
      <c r="C12" s="7" t="inlineStr">
        <is>
          <t>Comply with cyber security standards set by CE</t>
        </is>
      </c>
      <c r="D12" s="7" t="inlineStr">
        <is>
          <t>s24(2)</t>
        </is>
      </c>
      <c r="E12" s="7" t="inlineStr">
        <is>
          <t>RM200,000 / 3 years</t>
        </is>
      </c>
      <c r="F12" s="7" t="inlineStr">
        <is>
          <t>Yes (s55)</t>
        </is>
      </c>
      <c r="G12" s="7" t="inlineStr">
        <is>
          <t>Standards compliance evidence</t>
        </is>
      </c>
      <c r="H12" s="7" t="inlineStr"/>
      <c r="I12" s="7" t="inlineStr"/>
      <c r="J12" s="7" t="inlineStr"/>
    </row>
    <row r="13">
      <c r="A13" s="7" t="inlineStr">
        <is>
          <t>s25</t>
        </is>
      </c>
      <c r="B13" s="7" t="inlineStr">
        <is>
          <t>Threat Information Sharing</t>
        </is>
      </c>
      <c r="C13" s="7" t="inlineStr">
        <is>
          <t>Inform CE of threats that may affect other NCII</t>
        </is>
      </c>
      <c r="D13" s="7" t="inlineStr">
        <is>
          <t>s25(2)</t>
        </is>
      </c>
      <c r="E13" s="7" t="inlineStr">
        <is>
          <t>RM200,000 / 3 years</t>
        </is>
      </c>
      <c r="F13" s="7" t="inlineStr">
        <is>
          <t>Yes (s55)</t>
        </is>
      </c>
      <c r="G13" s="7" t="inlineStr">
        <is>
          <t>Threat sharing procedure, submission records</t>
        </is>
      </c>
      <c r="H13" s="7" t="inlineStr"/>
      <c r="I13" s="7" t="inlineStr"/>
      <c r="J13" s="7" t="inlineStr"/>
    </row>
    <row r="14">
      <c r="A14" s="7" t="inlineStr">
        <is>
          <t>s26</t>
        </is>
      </c>
      <c r="B14" s="7" t="inlineStr">
        <is>
          <t>Incident Notification</t>
        </is>
      </c>
      <c r="C14" s="7" t="inlineStr">
        <is>
          <t>Notify CE within 6 hours of significant-impact incident</t>
        </is>
      </c>
      <c r="D14" s="7" t="inlineStr">
        <is>
          <t>s26(3)</t>
        </is>
      </c>
      <c r="E14" s="7" t="inlineStr">
        <is>
          <t>RM500,000 / 10 years + RM5,000/day</t>
        </is>
      </c>
      <c r="F14" s="7" t="inlineStr">
        <is>
          <t>Yes (s55)</t>
        </is>
      </c>
      <c r="G14" s="7" t="inlineStr">
        <is>
          <t>IRP, NC4 portal access, notification records</t>
        </is>
      </c>
      <c r="H14" s="7" t="inlineStr"/>
      <c r="I14" s="7" t="inlineStr"/>
      <c r="J14" s="7" t="inlineStr"/>
    </row>
    <row r="15">
      <c r="A15" s="14" t="inlineStr">
        <is>
          <t>s26(4)</t>
        </is>
      </c>
      <c r="B15" s="14" t="inlineStr">
        <is>
          <t>False Incident Notification</t>
        </is>
      </c>
      <c r="C15" s="14" t="inlineStr">
        <is>
          <t>Ensure accuracy of incident notifications</t>
        </is>
      </c>
      <c r="D15" s="14" t="inlineStr">
        <is>
          <t>s26(4)</t>
        </is>
      </c>
      <c r="E15" s="14" t="inlineStr">
        <is>
          <t>RM300,000 / 5 years</t>
        </is>
      </c>
      <c r="F15" s="14" t="inlineStr">
        <is>
          <t>No</t>
        </is>
      </c>
      <c r="G15" s="14" t="inlineStr">
        <is>
          <t>Notification accuracy verification</t>
        </is>
      </c>
      <c r="H15" s="14" t="inlineStr"/>
      <c r="I15" s="14" t="inlineStr"/>
      <c r="J15" s="14" t="inlineStr"/>
    </row>
    <row r="18">
      <c r="A18" s="2" t="inlineStr">
        <is>
          <t>SECTION B: DIRECTOR &amp; OFFICER LIABILITY (s52)</t>
        </is>
      </c>
    </row>
    <row r="19">
      <c r="A19" s="15" t="inlineStr">
        <is>
          <t>s52 creates personal CRIMINAL liability for directors/officers via consent, connivance, or NEGLECT. Reverse burden of proof — officers must prove due diligence.</t>
        </is>
      </c>
    </row>
    <row r="21">
      <c r="A21" s="16" t="inlineStr">
        <is>
          <t>CONSENT</t>
        </is>
      </c>
      <c r="B21" s="7" t="inlineStr">
        <is>
          <t>Officer knew about and approved the breach</t>
        </is>
      </c>
      <c r="C21" s="7" t="inlineStr"/>
      <c r="D21" s="7" t="inlineStr"/>
      <c r="E21" s="7" t="inlineStr"/>
      <c r="F21" s="7" t="inlineStr"/>
      <c r="G21" s="7" t="inlineStr"/>
      <c r="H21" s="7" t="inlineStr"/>
      <c r="I21" s="7" t="inlineStr"/>
      <c r="J21" s="7" t="inlineStr"/>
    </row>
    <row r="22">
      <c r="A22" s="16" t="inlineStr">
        <is>
          <t>CONNIVANCE</t>
        </is>
      </c>
      <c r="B22" s="7" t="inlineStr">
        <is>
          <t>Officer was aware of the breach but did nothing to stop it</t>
        </is>
      </c>
      <c r="C22" s="7" t="inlineStr"/>
      <c r="D22" s="7" t="inlineStr"/>
      <c r="E22" s="7" t="inlineStr"/>
      <c r="F22" s="7" t="inlineStr"/>
      <c r="G22" s="7" t="inlineStr"/>
      <c r="H22" s="7" t="inlineStr"/>
      <c r="I22" s="7" t="inlineStr"/>
      <c r="J22" s="7" t="inlineStr"/>
    </row>
    <row r="23">
      <c r="A23" s="16" t="inlineStr">
        <is>
          <t>NEGLECT</t>
        </is>
      </c>
      <c r="B23" s="7" t="inlineStr">
        <is>
          <t>Officer failed to exercise proper oversight — NO knowledge/intent required</t>
        </is>
      </c>
      <c r="C23" s="7" t="inlineStr"/>
      <c r="D23" s="7" t="inlineStr"/>
      <c r="E23" s="7" t="inlineStr"/>
      <c r="F23" s="7" t="inlineStr"/>
      <c r="G23" s="7" t="inlineStr"/>
      <c r="H23" s="7" t="inlineStr"/>
      <c r="I23" s="7" t="inlineStr"/>
      <c r="J23" s="7" t="inlineStr"/>
    </row>
    <row r="25">
      <c r="A25" s="13" t="inlineStr">
        <is>
          <t>Assessment Area</t>
        </is>
      </c>
      <c r="B25" s="13" t="inlineStr">
        <is>
          <t>Key Questions</t>
        </is>
      </c>
      <c r="C25" s="13" t="inlineStr">
        <is>
          <t>Expected Evidence</t>
        </is>
      </c>
      <c r="D25" s="13" t="inlineStr"/>
      <c r="E25" s="13" t="inlineStr">
        <is>
          <t>Assessment
(Strong/Adequate/Weak)</t>
        </is>
      </c>
      <c r="F25" s="13" t="inlineStr"/>
      <c r="G25" s="13" t="inlineStr"/>
      <c r="H25" s="13" t="inlineStr"/>
      <c r="I25" s="13" t="inlineStr">
        <is>
          <t>Assessor Notes</t>
        </is>
      </c>
      <c r="J25" s="13" t="inlineStr"/>
    </row>
    <row r="26">
      <c r="A26" s="7" t="inlineStr">
        <is>
          <t>Board-level cyber security governance</t>
        </is>
      </c>
      <c r="B26" s="7" t="inlineStr">
        <is>
          <t>Does the board have formal cyber security governance procedures? Is there a dedicated committee?</t>
        </is>
      </c>
      <c r="C26" s="7" t="inlineStr">
        <is>
          <t>Board charter, committee ToR, meeting minutes (12 months)</t>
        </is>
      </c>
      <c r="D26" s="7" t="inlineStr"/>
      <c r="E26" s="7" t="inlineStr"/>
      <c r="F26" s="7" t="inlineStr"/>
      <c r="G26" s="7" t="inlineStr"/>
      <c r="H26" s="7" t="inlineStr"/>
      <c r="I26" s="7" t="inlineStr"/>
      <c r="J26" s="7" t="inlineStr"/>
    </row>
    <row r="27">
      <c r="A27" s="7" t="inlineStr">
        <is>
          <t>Active vs passive governance</t>
        </is>
      </c>
      <c r="B27" s="7" t="inlineStr">
        <is>
          <t>Do board minutes show active engagement (questioning, directing) or passive receipt of reports?</t>
        </is>
      </c>
      <c r="C27" s="7" t="inlineStr">
        <is>
          <t>Board minutes analysis, decision records</t>
        </is>
      </c>
      <c r="D27" s="7" t="inlineStr"/>
      <c r="E27" s="7" t="inlineStr"/>
      <c r="F27" s="7" t="inlineStr"/>
      <c r="G27" s="7" t="inlineStr"/>
      <c r="H27" s="7" t="inlineStr"/>
      <c r="I27" s="7" t="inlineStr"/>
      <c r="J27" s="7" t="inlineStr"/>
    </row>
    <row r="28">
      <c r="A28" s="7" t="inlineStr">
        <is>
          <t>CISO/ICTSO board reporting</t>
        </is>
      </c>
      <c r="B28" s="7" t="inlineStr">
        <is>
          <t>Does the CISO have direct board access? How frequently are briefings conducted?</t>
        </is>
      </c>
      <c r="C28" s="7" t="inlineStr">
        <is>
          <t>CISO appointment letter, reporting schedule, briefing records</t>
        </is>
      </c>
      <c r="D28" s="7" t="inlineStr"/>
      <c r="E28" s="7" t="inlineStr"/>
      <c r="F28" s="7" t="inlineStr"/>
      <c r="G28" s="7" t="inlineStr"/>
      <c r="H28" s="7" t="inlineStr"/>
      <c r="I28" s="7" t="inlineStr"/>
      <c r="J28" s="7" t="inlineStr"/>
    </row>
    <row r="29">
      <c r="A29" s="7" t="inlineStr">
        <is>
          <t>Delegation with accountability</t>
        </is>
      </c>
      <c r="B29" s="7" t="inlineStr">
        <is>
          <t>Is cyber security delegation documented with retained board accountability?</t>
        </is>
      </c>
      <c r="C29" s="7" t="inlineStr">
        <is>
          <t>Delegation instruments, performance monitoring records</t>
        </is>
      </c>
      <c r="D29" s="7" t="inlineStr"/>
      <c r="E29" s="7" t="inlineStr"/>
      <c r="F29" s="7" t="inlineStr"/>
      <c r="G29" s="7" t="inlineStr"/>
      <c r="H29" s="7" t="inlineStr"/>
      <c r="I29" s="7" t="inlineStr"/>
      <c r="J29" s="7" t="inlineStr"/>
    </row>
    <row r="30">
      <c r="A30" s="7" t="inlineStr">
        <is>
          <t>Response to known risks</t>
        </is>
      </c>
      <c r="B30" s="7" t="inlineStr">
        <is>
          <t>When audit or RA identified gaps, did the board direct remediation?</t>
        </is>
      </c>
      <c r="C30" s="7" t="inlineStr">
        <is>
          <t>Risk register, remediation tracker, board action items</t>
        </is>
      </c>
      <c r="D30" s="7" t="inlineStr"/>
      <c r="E30" s="7" t="inlineStr"/>
      <c r="F30" s="7" t="inlineStr"/>
      <c r="G30" s="7" t="inlineStr"/>
      <c r="H30" s="7" t="inlineStr"/>
      <c r="I30" s="7" t="inlineStr"/>
      <c r="J30" s="7" t="inlineStr"/>
    </row>
    <row r="31">
      <c r="A31" s="7" t="inlineStr">
        <is>
          <t>Director training on Act 854</t>
        </is>
      </c>
      <c r="B31" s="7" t="inlineStr">
        <is>
          <t>Have directors been trained on their personal liability under s52?</t>
        </is>
      </c>
      <c r="C31" s="7" t="inlineStr">
        <is>
          <t>Training records, signed acknowledgements</t>
        </is>
      </c>
      <c r="D31" s="7" t="inlineStr"/>
      <c r="E31" s="7" t="inlineStr"/>
      <c r="F31" s="7" t="inlineStr"/>
      <c r="G31" s="7" t="inlineStr"/>
      <c r="H31" s="7" t="inlineStr"/>
      <c r="I31" s="7" t="inlineStr"/>
      <c r="J31" s="7" t="inlineStr"/>
    </row>
    <row r="32">
      <c r="A32" s="7" t="inlineStr">
        <is>
          <t>D&amp;O insurance coverage</t>
        </is>
      </c>
      <c r="B32" s="7" t="inlineStr">
        <is>
          <t>Does D&amp;O coverage extend to Act 854 criminal proceedings? Are limits adequate (10x multiplier)?</t>
        </is>
      </c>
      <c r="C32" s="7" t="inlineStr">
        <is>
          <t>D&amp;O policy, coverage analysis</t>
        </is>
      </c>
      <c r="D32" s="7" t="inlineStr"/>
      <c r="E32" s="7" t="inlineStr"/>
      <c r="F32" s="7" t="inlineStr"/>
      <c r="G32" s="7" t="inlineStr"/>
      <c r="H32" s="7" t="inlineStr"/>
      <c r="I32" s="7" t="inlineStr"/>
      <c r="J32" s="7" t="inlineStr"/>
    </row>
    <row r="33">
      <c r="A33" s="7" t="inlineStr">
        <is>
          <t>Due diligence documentation</t>
        </is>
      </c>
      <c r="B33" s="7" t="inlineStr">
        <is>
          <t>Could each director demonstrate 'all due diligence' per s52(2) if required?</t>
        </is>
      </c>
      <c r="C33" s="7" t="inlineStr">
        <is>
          <t>Composite assessment of above evidence</t>
        </is>
      </c>
      <c r="D33" s="7" t="inlineStr"/>
      <c r="E33" s="7" t="inlineStr"/>
      <c r="F33" s="7" t="inlineStr"/>
      <c r="G33" s="7" t="inlineStr"/>
      <c r="H33" s="7" t="inlineStr"/>
      <c r="I33" s="7" t="inlineStr"/>
      <c r="J33" s="7" t="inlineStr"/>
    </row>
    <row r="36">
      <c r="A36" s="2" t="inlineStr">
        <is>
          <t>SECTION C: PENALTY EXPOSURE MATRIX</t>
        </is>
      </c>
    </row>
    <row r="37">
      <c r="A37" s="13" t="inlineStr">
        <is>
          <t>Section</t>
        </is>
      </c>
      <c r="B37" s="13" t="inlineStr">
        <is>
          <t>Offence</t>
        </is>
      </c>
      <c r="C37" s="13" t="inlineStr">
        <is>
          <t>Individual Fine</t>
        </is>
      </c>
      <c r="D37" s="13" t="inlineStr">
        <is>
          <t>Imprisonment</t>
        </is>
      </c>
      <c r="E37" s="13" t="inlineStr">
        <is>
          <t>Corporate Fine (10x)</t>
        </is>
      </c>
      <c r="F37" s="13" t="inlineStr">
        <is>
          <t>Compoundable?</t>
        </is>
      </c>
      <c r="G37" s="13" t="inlineStr">
        <is>
          <t>Compound Amount</t>
        </is>
      </c>
      <c r="H37" s="13" t="inlineStr"/>
      <c r="I37" s="13" t="inlineStr">
        <is>
          <t>Current Exposure
(High/Med/Low/None)</t>
        </is>
      </c>
      <c r="J37" s="13" t="inlineStr">
        <is>
          <t>Linked Findings</t>
        </is>
      </c>
    </row>
    <row r="38">
      <c r="A38" s="7" t="inlineStr">
        <is>
          <t>s18(2)</t>
        </is>
      </c>
      <c r="B38" s="7" t="inlineStr">
        <is>
          <t>Failure to implement NCII duties</t>
        </is>
      </c>
      <c r="C38" s="7" t="inlineStr">
        <is>
          <t>RM500,000</t>
        </is>
      </c>
      <c r="D38" s="7" t="inlineStr">
        <is>
          <t>10 years</t>
        </is>
      </c>
      <c r="E38" s="7" t="inlineStr">
        <is>
          <t>RM5,000,000</t>
        </is>
      </c>
      <c r="F38" s="7" t="inlineStr">
        <is>
          <t>Yes</t>
        </is>
      </c>
      <c r="G38" s="7" t="inlineStr">
        <is>
          <t>50% = RM250,000</t>
        </is>
      </c>
      <c r="H38" s="7" t="inlineStr"/>
      <c r="I38" s="7" t="inlineStr"/>
      <c r="J38" s="7" t="inlineStr"/>
    </row>
    <row r="39">
      <c r="A39" s="7" t="inlineStr">
        <is>
          <t>s20(3)</t>
        </is>
      </c>
      <c r="B39" s="7" t="inlineStr">
        <is>
          <t>Failure to provide information</t>
        </is>
      </c>
      <c r="C39" s="7" t="inlineStr">
        <is>
          <t>RM200,000</t>
        </is>
      </c>
      <c r="D39" s="7" t="inlineStr">
        <is>
          <t>3 years</t>
        </is>
      </c>
      <c r="E39" s="7" t="inlineStr">
        <is>
          <t>RM2,000,000</t>
        </is>
      </c>
      <c r="F39" s="7" t="inlineStr">
        <is>
          <t>Yes</t>
        </is>
      </c>
      <c r="G39" s="7" t="inlineStr">
        <is>
          <t>50% = RM100,000</t>
        </is>
      </c>
      <c r="H39" s="7" t="inlineStr"/>
      <c r="I39" s="7" t="inlineStr"/>
      <c r="J39" s="7" t="inlineStr"/>
    </row>
    <row r="40">
      <c r="A40" s="14" t="inlineStr">
        <is>
          <t>s20(4)</t>
        </is>
      </c>
      <c r="B40" s="14" t="inlineStr">
        <is>
          <t>False/misleading information</t>
        </is>
      </c>
      <c r="C40" s="14" t="inlineStr">
        <is>
          <t>RM300,000</t>
        </is>
      </c>
      <c r="D40" s="14" t="inlineStr">
        <is>
          <t>5 years</t>
        </is>
      </c>
      <c r="E40" s="14" t="inlineStr">
        <is>
          <t>RM3,000,000</t>
        </is>
      </c>
      <c r="F40" s="14" t="inlineStr">
        <is>
          <t>No</t>
        </is>
      </c>
      <c r="G40" s="14" t="inlineStr">
        <is>
          <t>N/A</t>
        </is>
      </c>
      <c r="H40" s="14" t="inlineStr"/>
      <c r="I40" s="14" t="inlineStr"/>
      <c r="J40" s="14" t="inlineStr"/>
    </row>
    <row r="41">
      <c r="A41" s="7" t="inlineStr">
        <is>
          <t>s21(3)</t>
        </is>
      </c>
      <c r="B41" s="7" t="inlineStr">
        <is>
          <t>Failure to conduct risk assessment</t>
        </is>
      </c>
      <c r="C41" s="7" t="inlineStr">
        <is>
          <t>RM500,000</t>
        </is>
      </c>
      <c r="D41" s="7" t="inlineStr">
        <is>
          <t>10 years</t>
        </is>
      </c>
      <c r="E41" s="7" t="inlineStr">
        <is>
          <t>RM5,000,000</t>
        </is>
      </c>
      <c r="F41" s="7" t="inlineStr">
        <is>
          <t>Yes</t>
        </is>
      </c>
      <c r="G41" s="7" t="inlineStr">
        <is>
          <t>50% = RM250,000</t>
        </is>
      </c>
      <c r="H41" s="7" t="inlineStr"/>
      <c r="I41" s="7" t="inlineStr"/>
      <c r="J41" s="7" t="inlineStr"/>
    </row>
    <row r="42">
      <c r="A42" s="7" t="inlineStr">
        <is>
          <t>s22(2)</t>
        </is>
      </c>
      <c r="B42" s="7" t="inlineStr">
        <is>
          <t>Failure to comply with CoP</t>
        </is>
      </c>
      <c r="C42" s="7" t="inlineStr">
        <is>
          <t>RM200,000</t>
        </is>
      </c>
      <c r="D42" s="7" t="inlineStr">
        <is>
          <t>3 years</t>
        </is>
      </c>
      <c r="E42" s="7" t="inlineStr">
        <is>
          <t>RM2,000,000</t>
        </is>
      </c>
      <c r="F42" s="7" t="inlineStr">
        <is>
          <t>Yes</t>
        </is>
      </c>
      <c r="G42" s="7" t="inlineStr">
        <is>
          <t>50% = RM100,000</t>
        </is>
      </c>
      <c r="H42" s="7" t="inlineStr"/>
      <c r="I42" s="7" t="inlineStr"/>
      <c r="J42" s="7" t="inlineStr"/>
    </row>
    <row r="43">
      <c r="A43" s="7" t="inlineStr">
        <is>
          <t>s23(3)</t>
        </is>
      </c>
      <c r="B43" s="7" t="inlineStr">
        <is>
          <t>Failure to conduct audit</t>
        </is>
      </c>
      <c r="C43" s="7" t="inlineStr">
        <is>
          <t>RM500,000</t>
        </is>
      </c>
      <c r="D43" s="7" t="inlineStr">
        <is>
          <t>10 years</t>
        </is>
      </c>
      <c r="E43" s="7" t="inlineStr">
        <is>
          <t>RM5,000,000</t>
        </is>
      </c>
      <c r="F43" s="7" t="inlineStr">
        <is>
          <t>Yes</t>
        </is>
      </c>
      <c r="G43" s="7" t="inlineStr">
        <is>
          <t>50% = RM250,000</t>
        </is>
      </c>
      <c r="H43" s="7" t="inlineStr"/>
      <c r="I43" s="7" t="inlineStr"/>
      <c r="J43" s="7" t="inlineStr"/>
    </row>
    <row r="44">
      <c r="A44" s="7" t="inlineStr">
        <is>
          <t>s24(2)</t>
        </is>
      </c>
      <c r="B44" s="7" t="inlineStr">
        <is>
          <t>Failure to comply with standards</t>
        </is>
      </c>
      <c r="C44" s="7" t="inlineStr">
        <is>
          <t>RM200,000</t>
        </is>
      </c>
      <c r="D44" s="7" t="inlineStr">
        <is>
          <t>3 years</t>
        </is>
      </c>
      <c r="E44" s="7" t="inlineStr">
        <is>
          <t>RM2,000,000</t>
        </is>
      </c>
      <c r="F44" s="7" t="inlineStr">
        <is>
          <t>Yes</t>
        </is>
      </c>
      <c r="G44" s="7" t="inlineStr">
        <is>
          <t>50% = RM100,000</t>
        </is>
      </c>
      <c r="H44" s="7" t="inlineStr"/>
      <c r="I44" s="7" t="inlineStr"/>
      <c r="J44" s="7" t="inlineStr"/>
    </row>
    <row r="45">
      <c r="A45" s="7" t="inlineStr">
        <is>
          <t>s25(2)</t>
        </is>
      </c>
      <c r="B45" s="7" t="inlineStr">
        <is>
          <t>Failure to share threat information</t>
        </is>
      </c>
      <c r="C45" s="7" t="inlineStr">
        <is>
          <t>RM200,000</t>
        </is>
      </c>
      <c r="D45" s="7" t="inlineStr">
        <is>
          <t>3 years</t>
        </is>
      </c>
      <c r="E45" s="7" t="inlineStr">
        <is>
          <t>RM2,000,000</t>
        </is>
      </c>
      <c r="F45" s="7" t="inlineStr">
        <is>
          <t>Yes</t>
        </is>
      </c>
      <c r="G45" s="7" t="inlineStr">
        <is>
          <t>50% = RM100,000</t>
        </is>
      </c>
      <c r="H45" s="7" t="inlineStr"/>
      <c r="I45" s="7" t="inlineStr"/>
      <c r="J45" s="7" t="inlineStr"/>
    </row>
    <row r="46">
      <c r="A46" s="7" t="inlineStr">
        <is>
          <t>s26(3)</t>
        </is>
      </c>
      <c r="B46" s="7" t="inlineStr">
        <is>
          <t>Failure to notify incident (6 hours)</t>
        </is>
      </c>
      <c r="C46" s="7" t="inlineStr">
        <is>
          <t>RM500,000 + RM5,000/day</t>
        </is>
      </c>
      <c r="D46" s="7" t="inlineStr">
        <is>
          <t>10 years</t>
        </is>
      </c>
      <c r="E46" s="7" t="inlineStr">
        <is>
          <t>RM5,000,000 + RM50,000/day</t>
        </is>
      </c>
      <c r="F46" s="7" t="inlineStr">
        <is>
          <t>Yes</t>
        </is>
      </c>
      <c r="G46" s="7" t="inlineStr">
        <is>
          <t>50% of max fine</t>
        </is>
      </c>
      <c r="H46" s="7" t="inlineStr"/>
      <c r="I46" s="7" t="inlineStr"/>
      <c r="J46" s="7" t="inlineStr"/>
    </row>
    <row r="47">
      <c r="A47" s="14" t="inlineStr">
        <is>
          <t>s26(4)</t>
        </is>
      </c>
      <c r="B47" s="14" t="inlineStr">
        <is>
          <t>False incident notification</t>
        </is>
      </c>
      <c r="C47" s="14" t="inlineStr">
        <is>
          <t>RM300,000</t>
        </is>
      </c>
      <c r="D47" s="14" t="inlineStr">
        <is>
          <t>5 years</t>
        </is>
      </c>
      <c r="E47" s="14" t="inlineStr">
        <is>
          <t>RM3,000,000</t>
        </is>
      </c>
      <c r="F47" s="14" t="inlineStr">
        <is>
          <t>No</t>
        </is>
      </c>
      <c r="G47" s="14" t="inlineStr">
        <is>
          <t>N/A</t>
        </is>
      </c>
      <c r="H47" s="14" t="inlineStr"/>
      <c r="I47" s="14" t="inlineStr"/>
      <c r="J47" s="14" t="inlineStr"/>
    </row>
    <row r="48">
      <c r="A48" s="7" t="inlineStr">
        <is>
          <t>s44</t>
        </is>
      </c>
      <c r="B48" s="7" t="inlineStr">
        <is>
          <t>Obstruction of authorised officer</t>
        </is>
      </c>
      <c r="C48" s="7" t="inlineStr">
        <is>
          <t>RM300,000</t>
        </is>
      </c>
      <c r="D48" s="7" t="inlineStr">
        <is>
          <t>5 years</t>
        </is>
      </c>
      <c r="E48" s="7" t="inlineStr">
        <is>
          <t>RM3,000,000</t>
        </is>
      </c>
      <c r="F48" s="7" t="inlineStr">
        <is>
          <t>Conditional</t>
        </is>
      </c>
      <c r="G48" s="7" t="inlineStr">
        <is>
          <t>If no force/threats</t>
        </is>
      </c>
      <c r="H48" s="7" t="inlineStr"/>
      <c r="I48" s="7" t="inlineStr"/>
      <c r="J48" s="7" t="inlineStr"/>
    </row>
    <row r="49">
      <c r="A49" s="14" t="inlineStr">
        <is>
          <t>s49</t>
        </is>
      </c>
      <c r="B49" s="14" t="inlineStr">
        <is>
          <t>Breach of secrecy</t>
        </is>
      </c>
      <c r="C49" s="14" t="inlineStr">
        <is>
          <t>RM500,000</t>
        </is>
      </c>
      <c r="D49" s="14" t="inlineStr">
        <is>
          <t>10 years</t>
        </is>
      </c>
      <c r="E49" s="14" t="inlineStr">
        <is>
          <t>RM5,000,000</t>
        </is>
      </c>
      <c r="F49" s="14" t="inlineStr">
        <is>
          <t>No</t>
        </is>
      </c>
      <c r="G49" s="14" t="inlineStr">
        <is>
          <t>N/A</t>
        </is>
      </c>
      <c r="H49" s="14" t="inlineStr"/>
      <c r="I49" s="14" t="inlineStr"/>
      <c r="J49" s="14" t="inlineStr"/>
    </row>
  </sheetData>
  <mergeCells count="5">
    <mergeCell ref="A1:J1"/>
    <mergeCell ref="A36:J36"/>
    <mergeCell ref="A18:J18"/>
    <mergeCell ref="A3:J3"/>
    <mergeCell ref="A19:J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12" customWidth="1" min="1" max="1"/>
    <col width="30" customWidth="1" min="2" max="2"/>
    <col width="55" customWidth="1" min="3" max="3"/>
    <col width="14" customWidth="1" min="4" max="4"/>
    <col width="18" customWidth="1" min="5" max="5"/>
    <col width="35" customWidth="1" min="6" max="6"/>
  </cols>
  <sheetData>
    <row r="1">
      <c r="A1" s="17" t="inlineStr">
        <is>
          <t>CE DIRECTIVE COMPLIANCE — 42 Mandatory Obligations Not in CoP</t>
        </is>
      </c>
    </row>
    <row r="2">
      <c r="A2" s="15" t="inlineStr">
        <is>
          <t>42 Tier 1 requirements from CE Directives 01-10 that are NOT covered by CoP clauses. Assessed separately from domain worksheets.</t>
        </is>
      </c>
    </row>
    <row r="4">
      <c r="A4" s="18" t="inlineStr">
        <is>
          <t>Directive 01: Incident Notification &amp; Authorised Persons (6 requirements)</t>
        </is>
      </c>
      <c r="B4" s="38" t="n"/>
      <c r="C4" s="38" t="n"/>
      <c r="D4" s="38" t="n"/>
      <c r="E4" s="38" t="n"/>
      <c r="F4" s="39" t="n"/>
    </row>
    <row r="5">
      <c r="A5" s="19" t="inlineStr">
        <is>
          <t>Directive</t>
        </is>
      </c>
      <c r="B5" s="19" t="inlineStr">
        <is>
          <t>Para / Source</t>
        </is>
      </c>
      <c r="C5" s="19" t="inlineStr">
        <is>
          <t>Requirement</t>
        </is>
      </c>
      <c r="D5" s="19" t="inlineStr">
        <is>
          <t>Status
(Met/Not Met)</t>
        </is>
      </c>
      <c r="E5" s="19" t="inlineStr">
        <is>
          <t>Evidence Ref</t>
        </is>
      </c>
      <c r="F5" s="19" t="inlineStr">
        <is>
          <t>Notes</t>
        </is>
      </c>
    </row>
    <row r="6">
      <c r="A6" s="7" t="inlineStr">
        <is>
          <t>CED-01</t>
        </is>
      </c>
      <c r="B6" s="7" t="inlineStr">
        <is>
          <t>CE Directive 01, para 7</t>
        </is>
      </c>
      <c r="C6" s="7" t="inlineStr">
        <is>
          <t>Each NCII entity shall submit particulars of three (3) authorised persons to CE NACSA: (a) 1 person at management level performing cyber security functions including policy, strategy, risk assessment, protection measures, threat detection, incident response/recovery, and prevention; (b) 2 persons at operational level performing incident response functions.</t>
        </is>
      </c>
      <c r="D6" s="7" t="inlineStr"/>
      <c r="E6" s="7" t="inlineStr"/>
      <c r="F6" s="7" t="inlineStr">
        <is>
          <t>Act ref: s11</t>
        </is>
      </c>
    </row>
    <row r="7">
      <c r="A7" s="7" t="inlineStr">
        <is>
          <t>CED-01</t>
        </is>
      </c>
      <c r="B7" s="7" t="inlineStr">
        <is>
          <t>CE Directive 01, para 8</t>
        </is>
      </c>
      <c r="C7" s="7" t="inlineStr">
        <is>
          <t>All NCII entities shall submit authorised person details to CE NACSA: (a) using the form at Appendix 1 (Lampiran 1); (b) via email to ncii@nc4.gov.my; (c) within 21 days of designation as NCII entity; (d) within 7 days if there is any change to the authorised persons.</t>
        </is>
      </c>
      <c r="D7" s="7" t="inlineStr"/>
      <c r="E7" s="7" t="inlineStr"/>
      <c r="F7" s="7" t="inlineStr">
        <is>
          <t>Act ref: s11</t>
        </is>
      </c>
    </row>
    <row r="8">
      <c r="A8" s="7" t="inlineStr">
        <is>
          <t>CED-01</t>
        </is>
      </c>
      <c r="B8" s="7" t="inlineStr">
        <is>
          <t>CE Directive 01, para 9; P.U.(A) 220/2024 sub-reg 2(1)</t>
        </is>
      </c>
      <c r="C8" s="7" t="inlineStr">
        <is>
          <t>Immediate notification via electronic means of a cyber security incident that has or may have occurred under sub-regulation 2(1) shall be made via email to cert@nc4.gov.my.</t>
        </is>
      </c>
      <c r="D8" s="7" t="inlineStr"/>
      <c r="E8" s="7" t="inlineStr"/>
      <c r="F8" s="7" t="inlineStr">
        <is>
          <t>Act ref: s26</t>
        </is>
      </c>
    </row>
    <row r="9">
      <c r="A9" s="7" t="inlineStr">
        <is>
          <t>CED-01</t>
        </is>
      </c>
      <c r="B9" s="7" t="inlineStr">
        <is>
          <t>CE Directive 01, para 10; P.U.(A) 220/2024 reg 3</t>
        </is>
      </c>
      <c r="C9" s="7" t="inlineStr">
        <is>
          <t>NCII entity shall provide, from time to time, further updates on cyber security incidents as required by CE NACSA, in the same manner as prescribed in Regulation 3 of P.U.(A) 220/2024.</t>
        </is>
      </c>
      <c r="D9" s="7" t="inlineStr"/>
      <c r="E9" s="7" t="inlineStr"/>
      <c r="F9" s="7" t="inlineStr">
        <is>
          <t>Act ref: s26</t>
        </is>
      </c>
    </row>
    <row r="10">
      <c r="A10" s="7" t="inlineStr">
        <is>
          <t>CED-01</t>
        </is>
      </c>
      <c r="B10" s="7" t="inlineStr">
        <is>
          <t>CE Directive 01, para 11</t>
        </is>
      </c>
      <c r="C10" s="7" t="inlineStr">
        <is>
          <t>If disruption prevents submission via NC4 System, NCII entity shall submit required particulars by: (a) calling 03-8064 4853 or 03-8064 4854; or (b) email to cert@nc4.gov.my.</t>
        </is>
      </c>
      <c r="D10" s="7" t="inlineStr"/>
      <c r="E10" s="7" t="inlineStr"/>
      <c r="F10" s="7" t="inlineStr">
        <is>
          <t>Act ref: s26</t>
        </is>
      </c>
    </row>
    <row r="11">
      <c r="A11" s="7" t="inlineStr">
        <is>
          <t>CED-01</t>
        </is>
      </c>
      <c r="B11" s="7" t="inlineStr">
        <is>
          <t>CE Directive 01, para 6</t>
        </is>
      </c>
      <c r="C11" s="7" t="inlineStr">
        <is>
          <t>Notification under Regulation 2 shall be made by the authorised person of the NCII entity who is permitted by CE NACSA under s.11(3) to access NC4 System at https://www.nc4.gov.my.</t>
        </is>
      </c>
      <c r="D11" s="7" t="inlineStr"/>
      <c r="E11" s="7" t="inlineStr"/>
      <c r="F11" s="7" t="inlineStr">
        <is>
          <t>Act ref: s11</t>
        </is>
      </c>
    </row>
    <row r="13">
      <c r="A13" s="18" t="inlineStr">
        <is>
          <t>Directive 02: CSSP Licensing (1 requirements)</t>
        </is>
      </c>
      <c r="B13" s="38" t="n"/>
      <c r="C13" s="38" t="n"/>
      <c r="D13" s="38" t="n"/>
      <c r="E13" s="38" t="n"/>
      <c r="F13" s="39" t="n"/>
    </row>
    <row r="14">
      <c r="A14" s="19" t="inlineStr">
        <is>
          <t>Directive</t>
        </is>
      </c>
      <c r="B14" s="19" t="inlineStr">
        <is>
          <t>Para / Source</t>
        </is>
      </c>
      <c r="C14" s="19" t="inlineStr">
        <is>
          <t>Requirement</t>
        </is>
      </c>
      <c r="D14" s="19" t="inlineStr">
        <is>
          <t>Status
(Met/Not Met)</t>
        </is>
      </c>
      <c r="E14" s="19" t="inlineStr">
        <is>
          <t>Evidence Ref</t>
        </is>
      </c>
      <c r="F14" s="19" t="inlineStr">
        <is>
          <t>Notes</t>
        </is>
      </c>
    </row>
    <row r="15">
      <c r="A15" s="7" t="inlineStr">
        <is>
          <t>CED-02</t>
        </is>
      </c>
      <c r="B15" s="7" t="inlineStr">
        <is>
          <t>CE Directive 02, para 6; CE Directive 06, para 8; CoP 7.3.1.2 reinforces</t>
        </is>
      </c>
      <c r="C15" s="7" t="inlineStr">
        <is>
          <t>NCII entities engaging external service providers for cyber security services relating to managed security operation centre monitoring and penetration testing shall appoint a cyber security service provider holding a valid license issued under NACSA, in accordance with P.U.(A) 221/2024.</t>
        </is>
      </c>
      <c r="D15" s="7" t="inlineStr"/>
      <c r="E15" s="7" t="inlineStr"/>
      <c r="F15" s="7" t="inlineStr">
        <is>
          <t>Act ref: s47</t>
        </is>
      </c>
    </row>
    <row r="17">
      <c r="A17" s="18" t="inlineStr">
        <is>
          <t>Directive 04: Self-Assessment (2 requirements)</t>
        </is>
      </c>
      <c r="B17" s="38" t="n"/>
      <c r="C17" s="38" t="n"/>
      <c r="D17" s="38" t="n"/>
      <c r="E17" s="38" t="n"/>
      <c r="F17" s="39" t="n"/>
    </row>
    <row r="18">
      <c r="A18" s="19" t="inlineStr">
        <is>
          <t>Directive</t>
        </is>
      </c>
      <c r="B18" s="19" t="inlineStr">
        <is>
          <t>Para / Source</t>
        </is>
      </c>
      <c r="C18" s="19" t="inlineStr">
        <is>
          <t>Requirement</t>
        </is>
      </c>
      <c r="D18" s="19" t="inlineStr">
        <is>
          <t>Status
(Met/Not Met)</t>
        </is>
      </c>
      <c r="E18" s="19" t="inlineStr">
        <is>
          <t>Evidence Ref</t>
        </is>
      </c>
      <c r="F18" s="19" t="inlineStr">
        <is>
          <t>Notes</t>
        </is>
      </c>
    </row>
    <row r="19">
      <c r="A19" s="7" t="inlineStr">
        <is>
          <t>CED-04</t>
        </is>
      </c>
      <c r="B19" s="7" t="inlineStr">
        <is>
          <t>CE Directive 04, para 1</t>
        </is>
      </c>
      <c r="C19" s="7" t="inlineStr">
        <is>
          <t>NCII entities shall carry out the National Cyber Security Baseline Self-Assessment within two (2) weeks after being designated as an NCII entity by the sector lead or CE NACSA.</t>
        </is>
      </c>
      <c r="D19" s="7" t="inlineStr"/>
      <c r="E19" s="7" t="inlineStr"/>
      <c r="F19" s="7" t="inlineStr"/>
    </row>
    <row r="20">
      <c r="A20" s="7" t="inlineStr">
        <is>
          <t>CED-04</t>
        </is>
      </c>
      <c r="B20" s="7" t="inlineStr">
        <is>
          <t>CE Directive 04, para 14</t>
        </is>
      </c>
      <c r="C20" s="7" t="inlineStr">
        <is>
          <t>NCII entities shall submit the completed Self-Assessment instrument to CE NACSA via email: auditpematuhan@nacsa.gov.my AND to the NCII sector lead.</t>
        </is>
      </c>
      <c r="D20" s="7" t="inlineStr"/>
      <c r="E20" s="7" t="inlineStr"/>
      <c r="F20" s="7" t="inlineStr"/>
    </row>
    <row r="22">
      <c r="A22" s="18" t="inlineStr">
        <is>
          <t>Directive 05: Risk Assessment (9 requirements)</t>
        </is>
      </c>
      <c r="B22" s="38" t="n"/>
      <c r="C22" s="38" t="n"/>
      <c r="D22" s="38" t="n"/>
      <c r="E22" s="38" t="n"/>
      <c r="F22" s="39" t="n"/>
    </row>
    <row r="23">
      <c r="A23" s="19" t="inlineStr">
        <is>
          <t>Directive</t>
        </is>
      </c>
      <c r="B23" s="19" t="inlineStr">
        <is>
          <t>Para / Source</t>
        </is>
      </c>
      <c r="C23" s="19" t="inlineStr">
        <is>
          <t>Requirement</t>
        </is>
      </c>
      <c r="D23" s="19" t="inlineStr">
        <is>
          <t>Status
(Met/Not Met)</t>
        </is>
      </c>
      <c r="E23" s="19" t="inlineStr">
        <is>
          <t>Evidence Ref</t>
        </is>
      </c>
      <c r="F23" s="19" t="inlineStr">
        <is>
          <t>Notes</t>
        </is>
      </c>
    </row>
    <row r="24">
      <c r="A24" s="7" t="inlineStr">
        <is>
          <t>CED-05</t>
        </is>
      </c>
      <c r="B24" s="7" t="inlineStr">
        <is>
          <t>CE Directive 05, para 7</t>
        </is>
      </c>
      <c r="C24" s="7" t="inlineStr">
        <is>
          <t>The scope of the cyber security risk assessment conducted shall cover the risk assessment of the computer system or computer systems (sistem atau sistem komputer) of the NCII entity.</t>
        </is>
      </c>
      <c r="D24" s="7" t="inlineStr"/>
      <c r="E24" s="7" t="inlineStr"/>
      <c r="F24" s="7" t="inlineStr">
        <is>
          <t>Act ref: s22</t>
        </is>
      </c>
    </row>
    <row r="25">
      <c r="A25" s="7" t="inlineStr">
        <is>
          <t>CED-05</t>
        </is>
      </c>
      <c r="B25" s="7" t="inlineStr">
        <is>
          <t>CE Directive 05, para 8.1.1</t>
        </is>
      </c>
      <c r="C25" s="7" t="inlineStr">
        <is>
          <t>Identify all important information assets (aset penting) related to the national critical information infrastructure owned or controlled by the NCII entity that may be exposed to cyber security threats. The inventory shall cover functions and design of computers and computer systems including: hardware, software, data, work processes, and human resources.</t>
        </is>
      </c>
      <c r="D25" s="7" t="inlineStr"/>
      <c r="E25" s="7" t="inlineStr"/>
      <c r="F25" s="7" t="inlineStr">
        <is>
          <t>Act ref: s22</t>
        </is>
      </c>
    </row>
    <row r="26">
      <c r="A26" s="7" t="inlineStr">
        <is>
          <t>CED-05</t>
        </is>
      </c>
      <c r="B26" s="7" t="inlineStr">
        <is>
          <t>CE Directive 05, para 8.1.2</t>
        </is>
      </c>
      <c r="C26" s="7" t="inlineStr">
        <is>
          <t>List all cyber security threats (ancaman keselamatan siber) that could affect the cyber security of the computer or computer system of the NCII entity.</t>
        </is>
      </c>
      <c r="D26" s="7" t="inlineStr"/>
      <c r="E26" s="7" t="inlineStr"/>
      <c r="F26" s="7" t="inlineStr">
        <is>
          <t>Act ref: s22</t>
        </is>
      </c>
    </row>
    <row r="27">
      <c r="A27" s="7" t="inlineStr">
        <is>
          <t>CED-05</t>
        </is>
      </c>
      <c r="B27" s="7" t="inlineStr">
        <is>
          <t>CE Directive 05, para 8.1.3</t>
        </is>
      </c>
      <c r="C27" s="7" t="inlineStr">
        <is>
          <t>Identify vulnerabilities in the computer or computer system that could be exploited by one or more cyber security threats.</t>
        </is>
      </c>
      <c r="D27" s="7" t="inlineStr"/>
      <c r="E27" s="7" t="inlineStr"/>
      <c r="F27" s="7" t="inlineStr">
        <is>
          <t>Act ref: s22</t>
        </is>
      </c>
    </row>
    <row r="28">
      <c r="A28" s="7" t="inlineStr">
        <is>
          <t>CED-05</t>
        </is>
      </c>
      <c r="B28" s="7" t="inlineStr">
        <is>
          <t>CE Directive 05, para 8.2</t>
        </is>
      </c>
      <c r="C28" s="7" t="inlineStr">
        <is>
          <t>Analyze the likelihood of occurrence and impact of the identified cyber security risks.</t>
        </is>
      </c>
      <c r="D28" s="7" t="inlineStr"/>
      <c r="E28" s="7" t="inlineStr"/>
      <c r="F28" s="7" t="inlineStr">
        <is>
          <t>Act ref: s22</t>
        </is>
      </c>
    </row>
    <row r="29">
      <c r="A29" s="7" t="inlineStr">
        <is>
          <t>CED-05</t>
        </is>
      </c>
      <c r="B29" s="7" t="inlineStr">
        <is>
          <t>CE Directive 05, para 8.3.1</t>
        </is>
      </c>
      <c r="C29" s="7" t="inlineStr">
        <is>
          <t>Comprehensively evaluate the cyber security risks that have been analyzed and subsequently make decisions on mitigation actions to be taken, including: risk mitigation, risk acceptance, risk transfer, risk avoidance.</t>
        </is>
      </c>
      <c r="D29" s="7" t="inlineStr"/>
      <c r="E29" s="7" t="inlineStr"/>
      <c r="F29" s="7" t="inlineStr">
        <is>
          <t>Act ref: s22</t>
        </is>
      </c>
    </row>
    <row r="30">
      <c r="A30" s="7" t="inlineStr">
        <is>
          <t>CED-05</t>
        </is>
      </c>
      <c r="B30" s="7" t="inlineStr">
        <is>
          <t>CE Directive 05, para 8.4</t>
        </is>
      </c>
      <c r="C30" s="7" t="inlineStr">
        <is>
          <t>Record the results of the cyber security risk assessment clearly and report the results to the management and stakeholders of the NCII entity.</t>
        </is>
      </c>
      <c r="D30" s="7" t="inlineStr"/>
      <c r="E30" s="7" t="inlineStr"/>
      <c r="F30" s="7" t="inlineStr">
        <is>
          <t>Act ref: s22</t>
        </is>
      </c>
    </row>
    <row r="31">
      <c r="A31" s="7" t="inlineStr">
        <is>
          <t>CED-05</t>
        </is>
      </c>
      <c r="B31" s="7" t="inlineStr">
        <is>
          <t>CE Directive 05, para 8.5</t>
        </is>
      </c>
      <c r="C31" s="7" t="inlineStr">
        <is>
          <t>Submit the cyber security risk assessment report to: CE NACSA via email to auditpematuhan@nacsa.gov.my, with copy to NCII sector lead.</t>
        </is>
      </c>
      <c r="D31" s="7" t="inlineStr"/>
      <c r="E31" s="7" t="inlineStr"/>
      <c r="F31" s="7" t="inlineStr">
        <is>
          <t>Act ref: s22</t>
        </is>
      </c>
    </row>
    <row r="32">
      <c r="A32" s="7" t="inlineStr">
        <is>
          <t>CED-05</t>
        </is>
      </c>
      <c r="B32" s="7" t="inlineStr">
        <is>
          <t>CE Directive 05, para 9</t>
        </is>
      </c>
      <c r="C32" s="7" t="inlineStr">
        <is>
          <t>The cyber security risk assessment report shall include: (9.1) methodology used; (9.2) description of each identified cyber security risk; (9.3) likelihood and impact of each risk; (9.4) risk prioritisation and actions to be taken.</t>
        </is>
      </c>
      <c r="D32" s="7" t="inlineStr"/>
      <c r="E32" s="7" t="inlineStr"/>
      <c r="F32" s="7" t="inlineStr">
        <is>
          <t>Act ref: s22</t>
        </is>
      </c>
    </row>
    <row r="34">
      <c r="A34" s="18" t="inlineStr">
        <is>
          <t>Directive 08: Audit Process (11 requirements)</t>
        </is>
      </c>
      <c r="B34" s="38" t="n"/>
      <c r="C34" s="38" t="n"/>
      <c r="D34" s="38" t="n"/>
      <c r="E34" s="38" t="n"/>
      <c r="F34" s="39" t="n"/>
    </row>
    <row r="35">
      <c r="A35" s="19" t="inlineStr">
        <is>
          <t>Directive</t>
        </is>
      </c>
      <c r="B35" s="19" t="inlineStr">
        <is>
          <t>Para / Source</t>
        </is>
      </c>
      <c r="C35" s="19" t="inlineStr">
        <is>
          <t>Requirement</t>
        </is>
      </c>
      <c r="D35" s="19" t="inlineStr">
        <is>
          <t>Status
(Met/Not Met)</t>
        </is>
      </c>
      <c r="E35" s="19" t="inlineStr">
        <is>
          <t>Evidence Ref</t>
        </is>
      </c>
      <c r="F35" s="19" t="inlineStr">
        <is>
          <t>Notes</t>
        </is>
      </c>
    </row>
    <row r="36">
      <c r="A36" s="7" t="inlineStr">
        <is>
          <t>CED-08</t>
        </is>
      </c>
      <c r="B36" s="7" t="inlineStr">
        <is>
          <t>CE Directive 08, para 7</t>
        </is>
      </c>
      <c r="C36" s="7" t="inlineStr">
        <is>
          <t>Before the audit is conducted, the NCII entity must identify a qualified auditor (juruaudit yang berkelayakan) to carry out the audit.</t>
        </is>
      </c>
      <c r="D36" s="7" t="inlineStr"/>
      <c r="E36" s="7" t="inlineStr"/>
      <c r="F36" s="7" t="inlineStr">
        <is>
          <t>Act ref: s22</t>
        </is>
      </c>
    </row>
    <row r="37">
      <c r="A37" s="7" t="inlineStr">
        <is>
          <t>CED-08</t>
        </is>
      </c>
      <c r="B37" s="7" t="inlineStr">
        <is>
          <t>CE Directive 08, para 8</t>
        </is>
      </c>
      <c r="C37" s="7" t="inlineStr">
        <is>
          <t>The NCII entity must submit the particulars of the identified auditor to the NACSA Chief Executive for approval through the Auditor Appointment Application Form (Lampiran 1 for corporate, Lampiran 2 for independent auditors).</t>
        </is>
      </c>
      <c r="D37" s="7" t="inlineStr"/>
      <c r="E37" s="7" t="inlineStr"/>
      <c r="F37" s="7" t="inlineStr">
        <is>
          <t>Act ref: s22</t>
        </is>
      </c>
    </row>
    <row r="38">
      <c r="A38" s="7" t="inlineStr">
        <is>
          <t>CED-08</t>
        </is>
      </c>
      <c r="B38" s="7" t="inlineStr">
        <is>
          <t>CE Directive 08, para 9</t>
        </is>
      </c>
      <c r="C38" s="7" t="inlineStr">
        <is>
          <t>The application for auditor appointment approval shall be submitted to the NACSA Chief Executive in writing at least thirty (30) days before the audit is conducted.</t>
        </is>
      </c>
      <c r="D38" s="7" t="inlineStr"/>
      <c r="E38" s="7" t="inlineStr"/>
      <c r="F38" s="7" t="inlineStr">
        <is>
          <t>Act ref: s22</t>
        </is>
      </c>
    </row>
    <row r="39">
      <c r="A39" s="7" t="inlineStr">
        <is>
          <t>CED-08</t>
        </is>
      </c>
      <c r="B39" s="7" t="inlineStr">
        <is>
          <t>CE Directive 08, para 10</t>
        </is>
      </c>
      <c r="C39" s="7" t="inlineStr">
        <is>
          <t>After receiving NACSA Chief Executive approval, the appointed auditor shall sign a Non-Disclosure Agreement (NDA) with the NCII entity before conducting the audit.</t>
        </is>
      </c>
      <c r="D39" s="7" t="inlineStr"/>
      <c r="E39" s="7" t="inlineStr"/>
      <c r="F39" s="7" t="inlineStr">
        <is>
          <t>Act ref: s22</t>
        </is>
      </c>
    </row>
    <row r="40">
      <c r="A40" s="7" t="inlineStr">
        <is>
          <t>CED-08</t>
        </is>
      </c>
      <c r="B40" s="7" t="inlineStr">
        <is>
          <t>CE Directive 08, para 11</t>
        </is>
      </c>
      <c r="C40" s="7" t="inlineStr">
        <is>
          <t>The auditor must conduct the audit, present the audit findings to the NCII entity, obtain the NCII entity confirmation of those findings, and prepare the audit report.</t>
        </is>
      </c>
      <c r="D40" s="7" t="inlineStr"/>
      <c r="E40" s="7" t="inlineStr"/>
      <c r="F40" s="7" t="inlineStr">
        <is>
          <t>Act ref: s22</t>
        </is>
      </c>
    </row>
    <row r="41">
      <c r="A41" s="7" t="inlineStr">
        <is>
          <t>CED-08</t>
        </is>
      </c>
      <c r="B41" s="7" t="inlineStr">
        <is>
          <t>CE Directive 08, para 12</t>
        </is>
      </c>
      <c r="C41" s="7" t="inlineStr">
        <is>
          <t>The NCII entity is required to submit the audit report to the NACSA Chief Executive within thirty (30) days after the audit is conducted, and a copy must also be sent to the NCII sector lead.</t>
        </is>
      </c>
      <c r="D41" s="7" t="inlineStr"/>
      <c r="E41" s="7" t="inlineStr"/>
      <c r="F41" s="7" t="inlineStr">
        <is>
          <t>Act ref: s22</t>
        </is>
      </c>
    </row>
    <row r="42">
      <c r="A42" s="7" t="inlineStr">
        <is>
          <t>CED-08</t>
        </is>
      </c>
      <c r="B42" s="7" t="inlineStr">
        <is>
          <t>CE Directive 08, para 27</t>
        </is>
      </c>
      <c r="C42" s="7" t="inlineStr">
        <is>
          <t>The audit report must be submitted to NACSA Chief Executive via email to auditpematuhan@nacsa.gov.my within thirty (30) days after completion of the audit, with copy to NCII sector lead.</t>
        </is>
      </c>
      <c r="D42" s="7" t="inlineStr"/>
      <c r="E42" s="7" t="inlineStr"/>
      <c r="F42" s="7" t="inlineStr">
        <is>
          <t>Act ref: s22</t>
        </is>
      </c>
    </row>
    <row r="43">
      <c r="A43" s="7" t="inlineStr">
        <is>
          <t>CED-08</t>
        </is>
      </c>
      <c r="B43" s="7" t="inlineStr">
        <is>
          <t>CE Directive 08, para 26</t>
        </is>
      </c>
      <c r="C43" s="7" t="inlineStr">
        <is>
          <t>The audit report must be signed by the Lead Auditor and the NCII entity before submission to the NACSA Chief Executive.</t>
        </is>
      </c>
      <c r="D43" s="7" t="inlineStr"/>
      <c r="E43" s="7" t="inlineStr"/>
      <c r="F43" s="7" t="inlineStr">
        <is>
          <t>Act ref: s22</t>
        </is>
      </c>
    </row>
    <row r="44">
      <c r="A44" s="7" t="inlineStr">
        <is>
          <t>CED-08</t>
        </is>
      </c>
      <c r="B44" s="7" t="inlineStr">
        <is>
          <t>CE Directive 08, para 6(e)</t>
        </is>
      </c>
      <c r="C44" s="7" t="inlineStr">
        <is>
          <t>The audit conducted must use a combination of approaches comprising mandatory approaches: (i) Compliance-Based Approach assessing compliance with Act 854, Regulations, CE Directives, CoP, and Guidelines; (ii) Risk-Based Approach assessing potential threats, vulnerabilities, and impact.</t>
        </is>
      </c>
      <c r="D44" s="7" t="inlineStr"/>
      <c r="E44" s="7" t="inlineStr"/>
      <c r="F44" s="7" t="inlineStr">
        <is>
          <t>Act ref: s22</t>
        </is>
      </c>
    </row>
    <row r="45">
      <c r="A45" s="7" t="inlineStr">
        <is>
          <t>CED-08</t>
        </is>
      </c>
      <c r="B45" s="7" t="inlineStr">
        <is>
          <t>CE Directive 08, para 6(b)</t>
        </is>
      </c>
      <c r="C45" s="7" t="inlineStr">
        <is>
          <t>The audit shall include assessment and verification of compliance with: (i) Act 854; (ii) Regulations under Act 854; (iii) Chief Executive Directives; (iv) Code of Practice; and (v) Guidelines.</t>
        </is>
      </c>
      <c r="D45" s="7" t="inlineStr"/>
      <c r="E45" s="7" t="inlineStr"/>
      <c r="F45" s="7" t="inlineStr">
        <is>
          <t>Act ref: s22</t>
        </is>
      </c>
    </row>
    <row r="46">
      <c r="A46" s="7" t="inlineStr">
        <is>
          <t>CED-08</t>
        </is>
      </c>
      <c r="B46" s="7" t="inlineStr">
        <is>
          <t>CE Directive 08, para 28</t>
        </is>
      </c>
      <c r="C46" s="7" t="inlineStr">
        <is>
          <t>A material change audit is conducted by the NCII entity if directed by the NACSA Chief Executive through written notice after receiving information from the NCII sector lead regarding material changes made to the design, configuration, security, or control of an NCII.</t>
        </is>
      </c>
      <c r="D46" s="7" t="inlineStr"/>
      <c r="E46" s="7" t="inlineStr"/>
      <c r="F46" s="7" t="inlineStr">
        <is>
          <t>Act ref: s22</t>
        </is>
      </c>
    </row>
    <row r="48">
      <c r="A48" s="18" t="inlineStr">
        <is>
          <t>Directive 09: PQC Migration (9 requirements)</t>
        </is>
      </c>
      <c r="B48" s="38" t="n"/>
      <c r="C48" s="38" t="n"/>
      <c r="D48" s="38" t="n"/>
      <c r="E48" s="38" t="n"/>
      <c r="F48" s="39" t="n"/>
    </row>
    <row r="49">
      <c r="A49" s="19" t="inlineStr">
        <is>
          <t>Directive</t>
        </is>
      </c>
      <c r="B49" s="19" t="inlineStr">
        <is>
          <t>Para / Source</t>
        </is>
      </c>
      <c r="C49" s="19" t="inlineStr">
        <is>
          <t>Requirement</t>
        </is>
      </c>
      <c r="D49" s="19" t="inlineStr">
        <is>
          <t>Status
(Met/Not Met)</t>
        </is>
      </c>
      <c r="E49" s="19" t="inlineStr">
        <is>
          <t>Evidence Ref</t>
        </is>
      </c>
      <c r="F49" s="19" t="inlineStr">
        <is>
          <t>Notes</t>
        </is>
      </c>
    </row>
    <row r="50">
      <c r="A50" s="7" t="inlineStr">
        <is>
          <t>CED-09</t>
        </is>
      </c>
      <c r="B50" s="7" t="inlineStr">
        <is>
          <t>CE Directive 09, para 9</t>
        </is>
      </c>
      <c r="C50" s="7" t="inlineStr">
        <is>
          <t>NCII entities shall carry out the provision of data and information on PQC migration implementation covering systems, applications, services, and their respective NCII infrastructure.</t>
        </is>
      </c>
      <c r="D50" s="7" t="inlineStr"/>
      <c r="E50" s="7" t="inlineStr"/>
      <c r="F50" s="7" t="inlineStr"/>
    </row>
    <row r="51">
      <c r="A51" s="7" t="inlineStr">
        <is>
          <t>CED-09</t>
        </is>
      </c>
      <c r="B51" s="7" t="inlineStr">
        <is>
          <t>CE Directive 09, para 10</t>
        </is>
      </c>
      <c r="C51" s="7" t="inlineStr">
        <is>
          <t>All data and information provided shall be given and submitted to CE NACSA in the form and manner specified in the written notice within 3 months from the date of the notice.</t>
        </is>
      </c>
      <c r="D51" s="7" t="inlineStr"/>
      <c r="E51" s="7" t="inlineStr"/>
      <c r="F51" s="7" t="inlineStr"/>
    </row>
    <row r="52">
      <c r="A52" s="7" t="inlineStr">
        <is>
          <t>CED-09</t>
        </is>
      </c>
      <c r="B52" s="7" t="inlineStr">
        <is>
          <t>CE Directive 09, para 11, Appendix A, Table 0</t>
        </is>
      </c>
      <c r="C52" s="7" t="inlineStr">
        <is>
          <t>Complete PQC Migration Implementation Form (Appendix A), Section A: NCII Cryptography Inventory — identify all cryptography-related assets including hardware, firmware, operating systems, applications, and services (Table 0).</t>
        </is>
      </c>
      <c r="D52" s="7" t="inlineStr"/>
      <c r="E52" s="7" t="inlineStr"/>
      <c r="F52" s="7" t="inlineStr"/>
    </row>
    <row r="53">
      <c r="A53" s="7" t="inlineStr">
        <is>
          <t>CED-09</t>
        </is>
      </c>
      <c r="B53" s="7" t="inlineStr">
        <is>
          <t>CE Directive 09, para 11, Appendix A, Table 1</t>
        </is>
      </c>
      <c r="C53" s="7" t="inlineStr">
        <is>
          <t>Develop Software Bill of Materials (SBOM) listing software components used in identified systems, focusing on cryptographic usage in libraries and software packages (Appendix A, Table 1).</t>
        </is>
      </c>
      <c r="D53" s="7" t="inlineStr"/>
      <c r="E53" s="7" t="inlineStr"/>
      <c r="F53" s="7" t="inlineStr"/>
    </row>
    <row r="54">
      <c r="A54" s="7" t="inlineStr">
        <is>
          <t>CED-09</t>
        </is>
      </c>
      <c r="B54" s="7" t="inlineStr">
        <is>
          <t>CE Directive 09, para 11, Appendix A, Table 2</t>
        </is>
      </c>
      <c r="C54" s="7" t="inlineStr">
        <is>
          <t>Develop Cryptographic Bill of Materials (CBOM) with detailed listing of cryptographic functions, algorithms used, and PQC alternatives recommended for each software component (Appendix A, Table 2).</t>
        </is>
      </c>
      <c r="D54" s="7" t="inlineStr"/>
      <c r="E54" s="7" t="inlineStr"/>
      <c r="F54" s="7" t="inlineStr"/>
    </row>
    <row r="55">
      <c r="A55" s="7" t="inlineStr">
        <is>
          <t>CED-09</t>
        </is>
      </c>
      <c r="B55" s="7" t="inlineStr">
        <is>
          <t>CE Directive 09, para 11, Appendix A, Table 3</t>
        </is>
      </c>
      <c r="C55" s="7" t="inlineStr">
        <is>
          <t>Develop PQC Risk Register identifying potential risks related to PQC migration, including system name, asset type, cryptographic algorithm, criticality level, risk, and risk owner (Appendix A, Table 3).</t>
        </is>
      </c>
      <c r="D55" s="7" t="inlineStr"/>
      <c r="E55" s="7" t="inlineStr"/>
      <c r="F55" s="7" t="inlineStr"/>
    </row>
    <row r="56">
      <c r="A56" s="7" t="inlineStr">
        <is>
          <t>CED-09</t>
        </is>
      </c>
      <c r="B56" s="7" t="inlineStr">
        <is>
          <t>CE Directive 09, para 11, Appendix A, Table 4</t>
        </is>
      </c>
      <c r="C56" s="7" t="inlineStr">
        <is>
          <t>Conduct Risk and Dependency Assessment assessing potential impact if legacy cryptography continues to be used, and dependencies between systems and components (Appendix A, Table 4).</t>
        </is>
      </c>
      <c r="D56" s="7" t="inlineStr"/>
      <c r="E56" s="7" t="inlineStr"/>
      <c r="F56" s="7" t="inlineStr"/>
    </row>
    <row r="57">
      <c r="A57" s="7" t="inlineStr">
        <is>
          <t>CED-09</t>
        </is>
      </c>
      <c r="B57" s="7" t="inlineStr">
        <is>
          <t>CE Directive 09, para 11, Appendix A, Section C</t>
        </is>
      </c>
      <c r="C57" s="7" t="inlineStr">
        <is>
          <t>Develop PQC Migration Timeline Plan covering 5 phases: Assessment, Selection, Validation, Deployment, and Monitoring (Appendix A, Section C).</t>
        </is>
      </c>
      <c r="D57" s="7" t="inlineStr"/>
      <c r="E57" s="7" t="inlineStr"/>
      <c r="F57" s="7" t="inlineStr"/>
    </row>
    <row r="58">
      <c r="A58" s="7" t="inlineStr">
        <is>
          <t>CED-09</t>
        </is>
      </c>
      <c r="B58" s="7" t="inlineStr">
        <is>
          <t>CE Directive 09, para 11, Appendix A, Section C</t>
        </is>
      </c>
      <c r="C58" s="7" t="inlineStr">
        <is>
          <t>Identify human, technical, and financial resource requirements for PQC migration including: training and awareness, new technology acquisition, testing and assessment, consulting/audit services, operating/maintenance costs (Appendix A, Section C).</t>
        </is>
      </c>
      <c r="D58" s="7" t="inlineStr"/>
      <c r="E58" s="7" t="inlineStr"/>
      <c r="F58" s="7" t="inlineStr"/>
    </row>
    <row r="60">
      <c r="A60" s="18" t="inlineStr">
        <is>
          <t>Directive 10: Crisis Management (4 requirements)</t>
        </is>
      </c>
      <c r="B60" s="38" t="n"/>
      <c r="C60" s="38" t="n"/>
      <c r="D60" s="38" t="n"/>
      <c r="E60" s="38" t="n"/>
      <c r="F60" s="39" t="n"/>
    </row>
    <row r="61">
      <c r="A61" s="19" t="inlineStr">
        <is>
          <t>Directive</t>
        </is>
      </c>
      <c r="B61" s="19" t="inlineStr">
        <is>
          <t>Para / Source</t>
        </is>
      </c>
      <c r="C61" s="19" t="inlineStr">
        <is>
          <t>Requirement</t>
        </is>
      </c>
      <c r="D61" s="19" t="inlineStr">
        <is>
          <t>Status
(Met/Not Met)</t>
        </is>
      </c>
      <c r="E61" s="19" t="inlineStr">
        <is>
          <t>Evidence Ref</t>
        </is>
      </c>
      <c r="F61" s="19" t="inlineStr">
        <is>
          <t>Notes</t>
        </is>
      </c>
    </row>
    <row r="62">
      <c r="A62" s="7" t="inlineStr">
        <is>
          <t>CED-10</t>
        </is>
      </c>
      <c r="B62" s="7" t="inlineStr">
        <is>
          <t>CE Directive 10, para 20</t>
        </is>
      </c>
      <c r="C62" s="7" t="inlineStr">
        <is>
          <t>All NCII sector leads and NCII entities shall ensure compliance with the National Cyber Security Crisis Management Plan.</t>
        </is>
      </c>
      <c r="D62" s="7" t="inlineStr"/>
      <c r="E62" s="7" t="inlineStr"/>
      <c r="F62" s="7" t="inlineStr"/>
    </row>
    <row r="63">
      <c r="A63" s="7" t="inlineStr">
        <is>
          <t>CED-10</t>
        </is>
      </c>
      <c r="B63" s="7" t="inlineStr">
        <is>
          <t>CE Directive 10, para 13</t>
        </is>
      </c>
      <c r="C63" s="7" t="inlineStr">
        <is>
          <t>The National Cyber Security Crisis Management Plan is classified as TERHAD (Restricted). Recipients are prohibited from making prints or copies. The Plan must not be shared or conveyed to any unauthorised person.</t>
        </is>
      </c>
      <c r="D63" s="7" t="inlineStr"/>
      <c r="E63" s="7" t="inlineStr"/>
      <c r="F63" s="7" t="inlineStr"/>
    </row>
    <row r="64">
      <c r="A64" s="7" t="inlineStr">
        <is>
          <t>CED-10</t>
        </is>
      </c>
      <c r="B64" s="7" t="inlineStr">
        <is>
          <t>CE Directive 10, para 15, Appendix 1</t>
        </is>
      </c>
      <c r="C64" s="7" t="inlineStr">
        <is>
          <t>NCII entity authorised persons receiving the National Cyber Security Crisis Management Plan must sign a Surat Aku Janji (Undertaking Letter) promising to store the Plan safely, not make copies, not share with unauthorised persons, and not distribute through any means.</t>
        </is>
      </c>
      <c r="D64" s="7" t="inlineStr"/>
      <c r="E64" s="7" t="inlineStr"/>
      <c r="F64" s="7" t="inlineStr"/>
    </row>
    <row r="65">
      <c r="A65" s="7" t="inlineStr">
        <is>
          <t>CED-10</t>
        </is>
      </c>
      <c r="B65" s="7" t="inlineStr">
        <is>
          <t>CE Directive 10, paras 10-12</t>
        </is>
      </c>
      <c r="C65" s="7" t="inlineStr">
        <is>
          <t>NCII entities shall understand and be prepared for 5 national cyber security threat levels (Rendah/Low, Sederhana/Moderate, Waspada/Vigilant, Tinggi/High, Kritikal/Critical) with progressive coordination and response mechanisms.</t>
        </is>
      </c>
      <c r="D65" s="7" t="inlineStr"/>
      <c r="E65" s="7" t="inlineStr"/>
      <c r="F65" s="7" t="inlineStr"/>
    </row>
    <row r="68">
      <c r="A68" s="3" t="inlineStr">
        <is>
          <t>Total directive requirements: 42</t>
        </is>
      </c>
    </row>
  </sheetData>
  <mergeCells count="10">
    <mergeCell ref="A2:F2"/>
    <mergeCell ref="A60:F60"/>
    <mergeCell ref="A13:F13"/>
    <mergeCell ref="A68:F68"/>
    <mergeCell ref="A1:F1"/>
    <mergeCell ref="A22:F22"/>
    <mergeCell ref="A17:F17"/>
    <mergeCell ref="A34:F34"/>
    <mergeCell ref="A4:F4"/>
    <mergeCell ref="A48:F48"/>
  </mergeCells>
  <conditionalFormatting sqref="D6:D11">
    <cfRule type="cellIs" priority="1" operator="equal" dxfId="0">
      <formula>"Met"</formula>
    </cfRule>
    <cfRule type="cellIs" priority="2" operator="equal" dxfId="1">
      <formula>"Not Met"</formula>
    </cfRule>
  </conditionalFormatting>
  <conditionalFormatting sqref="D15">
    <cfRule type="cellIs" priority="3" operator="equal" dxfId="0">
      <formula>"Met"</formula>
    </cfRule>
    <cfRule type="cellIs" priority="4" operator="equal" dxfId="1">
      <formula>"Not Met"</formula>
    </cfRule>
  </conditionalFormatting>
  <conditionalFormatting sqref="D19:D20">
    <cfRule type="cellIs" priority="5" operator="equal" dxfId="0">
      <formula>"Met"</formula>
    </cfRule>
    <cfRule type="cellIs" priority="6" operator="equal" dxfId="1">
      <formula>"Not Met"</formula>
    </cfRule>
  </conditionalFormatting>
  <conditionalFormatting sqref="D24:D32">
    <cfRule type="cellIs" priority="7" operator="equal" dxfId="0">
      <formula>"Met"</formula>
    </cfRule>
    <cfRule type="cellIs" priority="8" operator="equal" dxfId="1">
      <formula>"Not Met"</formula>
    </cfRule>
  </conditionalFormatting>
  <conditionalFormatting sqref="D36:D46">
    <cfRule type="cellIs" priority="9" operator="equal" dxfId="0">
      <formula>"Met"</formula>
    </cfRule>
    <cfRule type="cellIs" priority="10" operator="equal" dxfId="1">
      <formula>"Not Met"</formula>
    </cfRule>
  </conditionalFormatting>
  <conditionalFormatting sqref="D50:D58">
    <cfRule type="cellIs" priority="11" operator="equal" dxfId="0">
      <formula>"Met"</formula>
    </cfRule>
    <cfRule type="cellIs" priority="12" operator="equal" dxfId="1">
      <formula>"Not Met"</formula>
    </cfRule>
  </conditionalFormatting>
  <conditionalFormatting sqref="D62:D65">
    <cfRule type="cellIs" priority="13" operator="equal" dxfId="0">
      <formula>"Met"</formula>
    </cfRule>
    <cfRule type="cellIs" priority="14" operator="equal" dxfId="1">
      <formula>"Not Met"</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4.0 — Governance and Leadership (Organisation-Level)</t>
        </is>
      </c>
      <c r="B2" s="38" t="n"/>
      <c r="C2" s="38" t="n"/>
      <c r="D2" s="38" t="n"/>
      <c r="E2" s="38" t="n"/>
      <c r="F2" s="38" t="n"/>
      <c r="G2" s="38" t="n"/>
      <c r="H2" s="38" t="n"/>
      <c r="I2" s="38" t="n"/>
      <c r="J2" s="38" t="n"/>
      <c r="K2" s="38" t="n"/>
      <c r="L2" s="38" t="n"/>
      <c r="M2" s="38" t="n"/>
      <c r="N2" s="39" t="n"/>
    </row>
    <row r="3" ht="60" customHeight="1">
      <c r="A3" s="23" t="inlineStr">
        <is>
          <t>WHY: Governance sets the tone from the top. Act 854 s52 creates personal criminal liability for directors/officers who consent, connive, or neglect cyber security duties. Without board-level ownership, cyber security becomes an IT afterthought rather than a business priority.
WHAT GOOD LOOKS LIKE: Dedicated governance committee with ToR, regular board briefings from CISO/ICTSO, documented delegation with retained accountability, directors trained on s52 obligations.
KEY RISK IF ABSENT: Directors personally liable under s52 with reverse burden of proof. Entity lacks strategic direction for cyber security investment and prioritisation.</t>
        </is>
      </c>
      <c r="B3" s="38" t="n"/>
      <c r="C3" s="38" t="n"/>
      <c r="D3" s="38" t="n"/>
      <c r="E3" s="38" t="n"/>
      <c r="F3" s="38" t="n"/>
      <c r="G3" s="38" t="n"/>
      <c r="H3" s="38" t="n"/>
      <c r="I3" s="38" t="n"/>
      <c r="J3" s="38" t="n"/>
      <c r="K3" s="38" t="n"/>
      <c r="L3" s="38" t="n"/>
      <c r="M3" s="38" t="n"/>
      <c r="N3" s="39" t="n"/>
    </row>
    <row r="4">
      <c r="A4" s="25" t="inlineStr">
        <is>
          <t>4.0</t>
        </is>
      </c>
      <c r="B4" s="25" t="inlineStr">
        <is>
          <t>NACSA-4.0</t>
        </is>
      </c>
      <c r="C4" s="25" t="inlineStr">
        <is>
          <t>ORG</t>
        </is>
      </c>
      <c r="D4" s="25" t="inlineStr">
        <is>
          <t>Governance and Leadership</t>
        </is>
      </c>
      <c r="E4" s="25" t="inlineStr">
        <is>
          <t>Assess 1 mandatory requirement(s)</t>
        </is>
      </c>
      <c r="F4" s="25" t="inlineStr"/>
      <c r="G4" s="25" t="inlineStr"/>
      <c r="H4" s="25" t="inlineStr"/>
      <c r="I4" s="25" t="inlineStr"/>
      <c r="J4" s="25" t="inlineStr"/>
      <c r="K4" s="25" t="inlineStr"/>
      <c r="L4" s="25" t="inlineStr"/>
      <c r="M4" s="26" t="inlineStr"/>
      <c r="N4" s="26" t="inlineStr"/>
    </row>
    <row r="5">
      <c r="A5" s="7" t="inlineStr">
        <is>
          <t>4.0.2</t>
        </is>
      </c>
      <c r="B5" s="7" t="inlineStr">
        <is>
          <t>NACSA-4.0a</t>
        </is>
      </c>
      <c r="C5" s="7" t="inlineStr"/>
      <c r="D5" s="7" t="inlineStr"/>
      <c r="E5" s="7" t="inlineStr">
        <is>
          <t>Clear roles and responsibilities for cyber security at all levels within the organisation shall be established, ensuring...</t>
        </is>
      </c>
      <c r="F5"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4.0.2.</t>
        </is>
      </c>
      <c r="G5" s="7" t="inlineStr">
        <is>
          <t>Approved policy/procedure document; Committee approval record; Version history</t>
        </is>
      </c>
      <c r="H5" s="7" t="inlineStr">
        <is>
          <t>Inspection</t>
        </is>
      </c>
      <c r="I5" s="7" t="inlineStr"/>
      <c r="J5" s="7" t="inlineStr"/>
      <c r="K5" s="7" t="inlineStr"/>
      <c r="L5" s="7" t="inlineStr"/>
      <c r="M5" s="7" t="inlineStr"/>
      <c r="N5" s="7" t="inlineStr"/>
    </row>
  </sheetData>
  <mergeCells count="2">
    <mergeCell ref="A3:N3"/>
    <mergeCell ref="A2:N2"/>
  </mergeCells>
  <conditionalFormatting sqref="M4:M6">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5"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5.0 — Cyber Security Policy and Objectives (Organisation-Level)</t>
        </is>
      </c>
      <c r="B2" s="38" t="n"/>
      <c r="C2" s="38" t="n"/>
      <c r="D2" s="38" t="n"/>
      <c r="E2" s="38" t="n"/>
      <c r="F2" s="38" t="n"/>
      <c r="G2" s="38" t="n"/>
      <c r="H2" s="38" t="n"/>
      <c r="I2" s="38" t="n"/>
      <c r="J2" s="38" t="n"/>
      <c r="K2" s="38" t="n"/>
      <c r="L2" s="38" t="n"/>
      <c r="M2" s="38" t="n"/>
      <c r="N2" s="39" t="n"/>
    </row>
    <row r="3" ht="60" customHeight="1">
      <c r="A3" s="23" t="inlineStr">
        <is>
          <t>WHY: The cyber security policy is the foundational document that cascades into all other controls. It sets the organisation's commitment, scope, and approach to protecting NCII assets.
WHAT GOOD LOOKS LIKE: Approved policy aligned to ISO 27001/NIST, communicated to all personnel, reviewed annually, with measurable SMART objectives tracked and reported to governance committee.
KEY RISK IF ABSENT: No documented basis for control implementation. Staff unclear on expectations. CoP s22 non-compliance exposure.</t>
        </is>
      </c>
      <c r="B3" s="38" t="n"/>
      <c r="C3" s="38" t="n"/>
      <c r="D3" s="38" t="n"/>
      <c r="E3" s="38" t="n"/>
      <c r="F3" s="38" t="n"/>
      <c r="G3" s="38" t="n"/>
      <c r="H3" s="38" t="n"/>
      <c r="I3" s="38" t="n"/>
      <c r="J3" s="38" t="n"/>
      <c r="K3" s="38" t="n"/>
      <c r="L3" s="38" t="n"/>
      <c r="M3" s="38" t="n"/>
      <c r="N3" s="39" t="n"/>
    </row>
    <row r="4">
      <c r="A4" s="25" t="inlineStr">
        <is>
          <t>5.1.1</t>
        </is>
      </c>
      <c r="B4" s="25" t="inlineStr">
        <is>
          <t>NACSA-5.1.1</t>
        </is>
      </c>
      <c r="C4" s="25" t="inlineStr">
        <is>
          <t>ORG</t>
        </is>
      </c>
      <c r="D4" s="25" t="inlineStr">
        <is>
          <t>Establishment of the Cyber Security Policy</t>
        </is>
      </c>
      <c r="E4" s="25" t="inlineStr">
        <is>
          <t>Assess 1 mandatory requirement(s) + 1 improvement opportunity(ies)</t>
        </is>
      </c>
      <c r="F4" s="25" t="inlineStr"/>
      <c r="G4" s="25" t="inlineStr"/>
      <c r="H4" s="25" t="inlineStr"/>
      <c r="I4" s="25" t="inlineStr"/>
      <c r="J4" s="25" t="inlineStr"/>
      <c r="K4" s="25" t="inlineStr"/>
      <c r="L4" s="25" t="inlineStr"/>
      <c r="M4" s="26" t="inlineStr"/>
      <c r="N4" s="26" t="inlineStr"/>
    </row>
    <row r="5">
      <c r="A5" s="7" t="inlineStr">
        <is>
          <t>5.1.1.1</t>
        </is>
      </c>
      <c r="B5" s="7" t="inlineStr">
        <is>
          <t>NACSA-5.1.1a</t>
        </is>
      </c>
      <c r="C5" s="7" t="inlineStr"/>
      <c r="D5" s="7" t="inlineStr"/>
      <c r="E5" s="7" t="inlineStr">
        <is>
          <t>The NCII entity shall establish a cyber security policy that outlines the organisation's overall approach to cyber secur...</t>
        </is>
      </c>
      <c r="F5" s="7" t="inlineStr">
        <is>
          <t>1. Request the current policy document with approval records.
2. Verify it is formally approved by the governance committee or top management (check signatures, dates).
3. Confirm it addresses all elements specified in this clause.
4. Verify version control is maintained with change history.</t>
        </is>
      </c>
      <c r="G5" s="7" t="inlineStr">
        <is>
          <t>Approved policy/procedure document; Committee approval record; Version history</t>
        </is>
      </c>
      <c r="H5" s="7" t="inlineStr">
        <is>
          <t>Inspection</t>
        </is>
      </c>
      <c r="I5" s="7" t="inlineStr"/>
      <c r="J5" s="7" t="inlineStr"/>
      <c r="K5" s="7" t="inlineStr"/>
      <c r="L5" s="7" t="inlineStr"/>
      <c r="M5" s="7" t="inlineStr"/>
      <c r="N5" s="7" t="inlineStr"/>
    </row>
    <row r="6">
      <c r="A6" s="27" t="inlineStr">
        <is>
          <t>5.1.1.2</t>
        </is>
      </c>
      <c r="B6" s="27" t="inlineStr">
        <is>
          <t>NACSA-5.1.1b</t>
        </is>
      </c>
      <c r="C6" s="27" t="inlineStr"/>
      <c r="D6" s="27" t="inlineStr"/>
      <c r="E6" s="27" t="inlineStr">
        <is>
          <t>(Tier 2 -- Improvement Opportunity) This policy should demonstrate the NCII entity's commitment to meeting cyber sec...</t>
        </is>
      </c>
      <c r="F6" s="2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5.1.1.2.</t>
        </is>
      </c>
      <c r="G6" s="27" t="inlineStr">
        <is>
          <t>Relevant policy/procedure; Implementation evidence; Review/monitoring records</t>
        </is>
      </c>
      <c r="H6" s="27" t="inlineStr">
        <is>
          <t>Inspection</t>
        </is>
      </c>
      <c r="I6" s="27" t="inlineStr"/>
      <c r="J6" s="27" t="inlineStr"/>
      <c r="K6" s="27" t="inlineStr"/>
      <c r="L6" s="27" t="inlineStr"/>
      <c r="M6" s="27" t="inlineStr"/>
      <c r="N6" s="27" t="inlineStr"/>
    </row>
    <row r="7">
      <c r="A7" s="25" t="inlineStr">
        <is>
          <t>5.1.2</t>
        </is>
      </c>
      <c r="B7" s="25" t="inlineStr">
        <is>
          <t>NACSA-5.1.2</t>
        </is>
      </c>
      <c r="C7" s="25" t="inlineStr">
        <is>
          <t>ORG</t>
        </is>
      </c>
      <c r="D7" s="25" t="inlineStr">
        <is>
          <t>Alignment with Best Practices</t>
        </is>
      </c>
      <c r="E7" s="25" t="inlineStr">
        <is>
          <t>Assess 1 mandatory requirement(s)</t>
        </is>
      </c>
      <c r="F7" s="25" t="inlineStr"/>
      <c r="G7" s="25" t="inlineStr"/>
      <c r="H7" s="25" t="inlineStr"/>
      <c r="I7" s="25" t="inlineStr"/>
      <c r="J7" s="25" t="inlineStr"/>
      <c r="K7" s="25" t="inlineStr"/>
      <c r="L7" s="25" t="inlineStr"/>
      <c r="M7" s="26" t="inlineStr"/>
      <c r="N7" s="26" t="inlineStr"/>
    </row>
    <row r="8">
      <c r="A8" s="7" t="inlineStr">
        <is>
          <t>5.1.2.1</t>
        </is>
      </c>
      <c r="B8" s="7" t="inlineStr">
        <is>
          <t>NACSA-5.1.2a</t>
        </is>
      </c>
      <c r="C8" s="7" t="inlineStr"/>
      <c r="D8" s="7" t="inlineStr"/>
      <c r="E8" s="7" t="inlineStr">
        <is>
          <t>The policy shall align with recognised industry standards, best practices and frameworks such as follows, to ensure effe...</t>
        </is>
      </c>
      <c r="F8" s="7" t="inlineStr">
        <is>
          <t>1. Request the alignment/mapping document showing how the entity's controls map to the referenced standards.
2. Verify the mapping covers the specific standards cited in the clause (ISO 27001, NIST CSF, etc.).
3. Check that gaps identified in the mapping have remediation plans.
4. Confirm the alignment is current and reviewed periodically.</t>
        </is>
      </c>
      <c r="G8" s="7" t="inlineStr">
        <is>
          <t>Approved policy/procedure document; Committee approval record; Version history</t>
        </is>
      </c>
      <c r="H8" s="7" t="inlineStr">
        <is>
          <t>Inspection</t>
        </is>
      </c>
      <c r="I8" s="7" t="inlineStr"/>
      <c r="J8" s="7" t="inlineStr"/>
      <c r="K8" s="7" t="inlineStr"/>
      <c r="L8" s="7" t="inlineStr"/>
      <c r="M8" s="7" t="inlineStr"/>
      <c r="N8" s="7" t="inlineStr"/>
    </row>
    <row r="9">
      <c r="A9" s="25" t="inlineStr">
        <is>
          <t>5.1.3</t>
        </is>
      </c>
      <c r="B9" s="25" t="inlineStr">
        <is>
          <t>NACSA-5.1.3</t>
        </is>
      </c>
      <c r="C9" s="25" t="inlineStr">
        <is>
          <t>ORG</t>
        </is>
      </c>
      <c r="D9" s="25" t="inlineStr">
        <is>
          <t>Application of the Cyber Security Policy</t>
        </is>
      </c>
      <c r="E9" s="25" t="inlineStr">
        <is>
          <t>Assess 1 mandatory requirement(s)</t>
        </is>
      </c>
      <c r="F9" s="25" t="inlineStr"/>
      <c r="G9" s="25" t="inlineStr"/>
      <c r="H9" s="25" t="inlineStr"/>
      <c r="I9" s="25" t="inlineStr"/>
      <c r="J9" s="25" t="inlineStr"/>
      <c r="K9" s="25" t="inlineStr"/>
      <c r="L9" s="25" t="inlineStr"/>
      <c r="M9" s="26" t="inlineStr"/>
      <c r="N9" s="26" t="inlineStr"/>
    </row>
    <row r="10">
      <c r="A10" s="28" t="inlineStr">
        <is>
          <t>5.1.3.1</t>
        </is>
      </c>
      <c r="B10" s="28" t="inlineStr">
        <is>
          <t>NACSA-5.1.3a</t>
        </is>
      </c>
      <c r="C10" s="28" t="inlineStr"/>
      <c r="D10" s="28" t="inlineStr"/>
      <c r="E10" s="28" t="inlineStr">
        <is>
          <t>The policy shall be applied across the NCII entity's organisation, including all the NCII owned or operated by the NCII ...</t>
        </is>
      </c>
      <c r="F10"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5.1.3.1.</t>
        </is>
      </c>
      <c r="G10" s="28" t="inlineStr">
        <is>
          <t>Approved policy/procedure document; Committee approval record; Version history</t>
        </is>
      </c>
      <c r="H10" s="28" t="inlineStr">
        <is>
          <t>Inspection</t>
        </is>
      </c>
      <c r="I10" s="28" t="inlineStr"/>
      <c r="J10" s="28" t="inlineStr"/>
      <c r="K10" s="28" t="inlineStr"/>
      <c r="L10" s="28" t="inlineStr"/>
      <c r="M10" s="28" t="inlineStr"/>
      <c r="N10" s="28" t="inlineStr"/>
    </row>
    <row r="11">
      <c r="A11" s="25" t="inlineStr">
        <is>
          <t>5.1.4</t>
        </is>
      </c>
      <c r="B11" s="25" t="inlineStr">
        <is>
          <t>NACSA-5.1.4</t>
        </is>
      </c>
      <c r="C11" s="25" t="inlineStr">
        <is>
          <t>ORG</t>
        </is>
      </c>
      <c r="D11" s="25" t="inlineStr">
        <is>
          <t>Review of the Cyber Security Policy</t>
        </is>
      </c>
      <c r="E11" s="25" t="inlineStr">
        <is>
          <t>Assess 1 mandatory requirement(s) + 1 improvement opportunity(ies)</t>
        </is>
      </c>
      <c r="F11" s="25" t="inlineStr"/>
      <c r="G11" s="25" t="inlineStr"/>
      <c r="H11" s="25" t="inlineStr"/>
      <c r="I11" s="25" t="inlineStr"/>
      <c r="J11" s="25" t="inlineStr"/>
      <c r="K11" s="25" t="inlineStr"/>
      <c r="L11" s="25" t="inlineStr"/>
      <c r="M11" s="26" t="inlineStr"/>
      <c r="N11" s="26" t="inlineStr"/>
    </row>
    <row r="12">
      <c r="A12" s="7" t="inlineStr">
        <is>
          <t>5.1.4.1</t>
        </is>
      </c>
      <c r="B12" s="7" t="inlineStr">
        <is>
          <t>NACSA-5.1.4a</t>
        </is>
      </c>
      <c r="C12" s="7" t="inlineStr"/>
      <c r="D12" s="7" t="inlineStr"/>
      <c r="E12" s="7" t="inlineStr">
        <is>
          <t>The policy shall be reviewed by the relevant team such as the top management and relevant cyber security governance comm...</t>
        </is>
      </c>
      <c r="F12" s="7" t="inlineStr">
        <is>
          <t>1. Request evidence of the last review — meeting minutes, review report, or updated document with review date.
2. Verify review was conducted within the required period (annually or as specified).
3. Check that review outcomes are documented with any changes approved.
4. Confirm the review addressed current threats, regulatory changes, and lessons learned.</t>
        </is>
      </c>
      <c r="G12" s="7" t="inlineStr">
        <is>
          <t>Approved policy/procedure document; Committee approval record; Version history</t>
        </is>
      </c>
      <c r="H12" s="7" t="inlineStr">
        <is>
          <t>Inspection</t>
        </is>
      </c>
      <c r="I12" s="7" t="inlineStr"/>
      <c r="J12" s="7" t="inlineStr"/>
      <c r="K12" s="7" t="inlineStr"/>
      <c r="L12" s="7" t="inlineStr"/>
      <c r="M12" s="7" t="inlineStr"/>
      <c r="N12" s="7" t="inlineStr"/>
    </row>
    <row r="13">
      <c r="A13" s="27" t="inlineStr">
        <is>
          <t>5.1.4.2</t>
        </is>
      </c>
      <c r="B13" s="27" t="inlineStr">
        <is>
          <t>NACSA-5.1.4b</t>
        </is>
      </c>
      <c r="C13" s="27" t="inlineStr"/>
      <c r="D13" s="27" t="inlineStr"/>
      <c r="E13" s="27" t="inlineStr">
        <is>
          <t>(Tier 2 -- Improvement Opportunity) A structured policy review process may include the following:
- Designation of r...</t>
        </is>
      </c>
      <c r="F13" s="27" t="inlineStr">
        <is>
          <t>1. Request change management procedure.
2. Sample 10 changes — verify full lifecycle (request, risk assessment, approval, test, implementation).
3. Check for emergency change records with retrospective approval.
4. Review annual change process review.</t>
        </is>
      </c>
      <c r="G13" s="27" t="inlineStr">
        <is>
          <t>Change management procedure; 10 sampled change records; Emergency change records; Process review records</t>
        </is>
      </c>
      <c r="H13" s="27" t="inlineStr">
        <is>
          <t>Inspection</t>
        </is>
      </c>
      <c r="I13" s="27" t="inlineStr"/>
      <c r="J13" s="27" t="inlineStr"/>
      <c r="K13" s="27" t="inlineStr"/>
      <c r="L13" s="27" t="inlineStr"/>
      <c r="M13" s="27" t="inlineStr"/>
      <c r="N13" s="27" t="inlineStr"/>
    </row>
    <row r="14">
      <c r="A14" s="25" t="inlineStr">
        <is>
          <t>5.1.5</t>
        </is>
      </c>
      <c r="B14" s="25" t="inlineStr">
        <is>
          <t>NACSA-5.1.5</t>
        </is>
      </c>
      <c r="C14" s="25" t="inlineStr">
        <is>
          <t>ORG</t>
        </is>
      </c>
      <c r="D14" s="25" t="inlineStr">
        <is>
          <t>Communication</t>
        </is>
      </c>
      <c r="E14" s="25" t="inlineStr">
        <is>
          <t>Assess 1 mandatory requirement(s) + 1 improvement opportunity(ies)</t>
        </is>
      </c>
      <c r="F14" s="25" t="inlineStr"/>
      <c r="G14" s="25" t="inlineStr"/>
      <c r="H14" s="25" t="inlineStr"/>
      <c r="I14" s="25" t="inlineStr"/>
      <c r="J14" s="25" t="inlineStr"/>
      <c r="K14" s="25" t="inlineStr"/>
      <c r="L14" s="25" t="inlineStr"/>
      <c r="M14" s="26" t="inlineStr"/>
      <c r="N14" s="26" t="inlineStr"/>
    </row>
    <row r="15">
      <c r="A15" s="7" t="inlineStr">
        <is>
          <t>5.1.5.1</t>
        </is>
      </c>
      <c r="B15" s="7" t="inlineStr">
        <is>
          <t>NACSA-5.1.5a</t>
        </is>
      </c>
      <c r="C15" s="7" t="inlineStr"/>
      <c r="D15" s="7" t="inlineStr"/>
      <c r="E15" s="7" t="inlineStr">
        <is>
          <t>The policy shall be proactively communicated to all relevant stakeholders, through methods of communication such as awar...</t>
        </is>
      </c>
      <c r="F15" s="7" t="inlineStr">
        <is>
          <t>1. Request evidence of communication to stakeholders — emails, portal announcements, signed acknowledgements.
2. Sample 10 acknowledgement records to verify staff received and understood the communication.
3. Verify communication covers all relevant parties including contractors and third parties with NCII access.
4. Check the communication is current (not an outdated version).</t>
        </is>
      </c>
      <c r="G15" s="7" t="inlineStr">
        <is>
          <t>Approved policy/procedure document; Committee approval record; Version history</t>
        </is>
      </c>
      <c r="H15" s="7" t="inlineStr">
        <is>
          <t>Inspection / Inquiry</t>
        </is>
      </c>
      <c r="I15" s="7" t="inlineStr"/>
      <c r="J15" s="7" t="inlineStr"/>
      <c r="K15" s="7" t="inlineStr"/>
      <c r="L15" s="7" t="inlineStr"/>
      <c r="M15" s="7" t="inlineStr"/>
      <c r="N15" s="7" t="inlineStr"/>
    </row>
    <row r="16">
      <c r="A16" s="27" t="inlineStr">
        <is>
          <t>5.1.5.2</t>
        </is>
      </c>
      <c r="B16" s="27" t="inlineStr">
        <is>
          <t>NACSA-5.1.5b</t>
        </is>
      </c>
      <c r="C16" s="27" t="inlineStr"/>
      <c r="D16" s="27" t="inlineStr"/>
      <c r="E16" s="27" t="inlineStr">
        <is>
          <t>(Tier 2 -- Improvement Opportunity) A communication plan may be established to ensure the Cyber Security Policy is d...</t>
        </is>
      </c>
      <c r="F16" s="27" t="inlineStr">
        <is>
          <t>1. Request evidence of communication to relevant stakeholders.
2. Verify communication method is appropriate (training, intranet, briefings).
3. Sample 10 staff — confirm acknowledgement/receipt of communication.
4. Confirm communication is current (reflects latest version).</t>
        </is>
      </c>
      <c r="G16" s="27" t="inlineStr">
        <is>
          <t>Communication records; Staff acknowledgement samples; Intranet/portal screenshots</t>
        </is>
      </c>
      <c r="H16" s="27" t="inlineStr">
        <is>
          <t>Inspection / Inquiry</t>
        </is>
      </c>
      <c r="I16" s="27" t="inlineStr"/>
      <c r="J16" s="27" t="inlineStr"/>
      <c r="K16" s="27" t="inlineStr"/>
      <c r="L16" s="27" t="inlineStr"/>
      <c r="M16" s="27" t="inlineStr"/>
      <c r="N16" s="27" t="inlineStr"/>
    </row>
    <row r="17">
      <c r="A17" s="25" t="inlineStr">
        <is>
          <t>5.2.1</t>
        </is>
      </c>
      <c r="B17" s="25" t="inlineStr">
        <is>
          <t>NACSA-5.2.1</t>
        </is>
      </c>
      <c r="C17" s="25" t="inlineStr">
        <is>
          <t>ORG</t>
        </is>
      </c>
      <c r="D17" s="25" t="inlineStr">
        <is>
          <t>Development of Cyber Security Objectives</t>
        </is>
      </c>
      <c r="E17" s="25" t="inlineStr">
        <is>
          <t>Assess 2 mandatory requirement(s)</t>
        </is>
      </c>
      <c r="F17" s="25" t="inlineStr"/>
      <c r="G17" s="25" t="inlineStr"/>
      <c r="H17" s="25" t="inlineStr"/>
      <c r="I17" s="25" t="inlineStr"/>
      <c r="J17" s="25" t="inlineStr"/>
      <c r="K17" s="25" t="inlineStr"/>
      <c r="L17" s="25" t="inlineStr"/>
      <c r="M17" s="26" t="inlineStr"/>
      <c r="N17" s="26" t="inlineStr"/>
    </row>
    <row r="18">
      <c r="A18" s="7" t="inlineStr">
        <is>
          <t>5.2.1.1</t>
        </is>
      </c>
      <c r="B18" s="7" t="inlineStr">
        <is>
          <t>NACSA-5.2.1a</t>
        </is>
      </c>
      <c r="C18" s="7" t="inlineStr"/>
      <c r="D18" s="7" t="inlineStr"/>
      <c r="E18" s="7" t="inlineStr">
        <is>
          <t>The NCII entity shall develop cyber security objectives that are align with its cyber security policy, standards such as...</t>
        </is>
      </c>
      <c r="F18" s="7" t="inlineStr">
        <is>
          <t>1. Request the alignment/mapping document showing how the entity's controls map to the referenced standards.
2. Verify the mapping covers the specific standards cited in the clause (ISO 27001, NIST CSF, etc.).
3. Check that gaps identified in the mapping have remediation plans.
4. Confirm the alignment is current and reviewed periodically.</t>
        </is>
      </c>
      <c r="G18" s="7" t="inlineStr">
        <is>
          <t>Approved policy/procedure document; Committee approval record; Version history</t>
        </is>
      </c>
      <c r="H18" s="7" t="inlineStr">
        <is>
          <t>Inspection</t>
        </is>
      </c>
      <c r="I18" s="7" t="inlineStr"/>
      <c r="J18" s="7" t="inlineStr"/>
      <c r="K18" s="7" t="inlineStr"/>
      <c r="L18" s="7" t="inlineStr"/>
      <c r="M18" s="7" t="inlineStr"/>
      <c r="N18" s="7" t="inlineStr"/>
    </row>
    <row r="19">
      <c r="A19" s="28" t="inlineStr">
        <is>
          <t>5.2.1.2</t>
        </is>
      </c>
      <c r="B19" s="28" t="inlineStr">
        <is>
          <t>NACSA-5.2.1b</t>
        </is>
      </c>
      <c r="C19" s="28" t="inlineStr"/>
      <c r="D19" s="28" t="inlineStr"/>
      <c r="E19" s="28" t="inlineStr">
        <is>
          <t>The objectives must be specific, measurable, achievable, relevant and time-bound.</t>
        </is>
      </c>
      <c r="F19"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5.2.1.2.</t>
        </is>
      </c>
      <c r="G19" s="28" t="inlineStr">
        <is>
          <t>Relevant policy/procedure; Implementation evidence; Review/monitoring records</t>
        </is>
      </c>
      <c r="H19" s="28" t="inlineStr">
        <is>
          <t>Inspection</t>
        </is>
      </c>
      <c r="I19" s="28" t="inlineStr"/>
      <c r="J19" s="28" t="inlineStr"/>
      <c r="K19" s="28" t="inlineStr"/>
      <c r="L19" s="28" t="inlineStr"/>
      <c r="M19" s="28" t="inlineStr"/>
      <c r="N19" s="28" t="inlineStr"/>
    </row>
    <row r="20">
      <c r="A20" s="25" t="inlineStr">
        <is>
          <t>5.2.2</t>
        </is>
      </c>
      <c r="B20" s="25" t="inlineStr">
        <is>
          <t>NACSA-5.2.2</t>
        </is>
      </c>
      <c r="C20" s="25" t="inlineStr">
        <is>
          <t>ORG</t>
        </is>
      </c>
      <c r="D20" s="25" t="inlineStr">
        <is>
          <t>Communication of Cyber Security Objectives</t>
        </is>
      </c>
      <c r="E20" s="25" t="inlineStr">
        <is>
          <t>Assess 2 mandatory requirement(s)</t>
        </is>
      </c>
      <c r="F20" s="25" t="inlineStr"/>
      <c r="G20" s="25" t="inlineStr"/>
      <c r="H20" s="25" t="inlineStr"/>
      <c r="I20" s="25" t="inlineStr"/>
      <c r="J20" s="25" t="inlineStr"/>
      <c r="K20" s="25" t="inlineStr"/>
      <c r="L20" s="25" t="inlineStr"/>
      <c r="M20" s="26" t="inlineStr"/>
      <c r="N20" s="26" t="inlineStr"/>
    </row>
    <row r="21">
      <c r="A21" s="7" t="inlineStr">
        <is>
          <t>5.2.2.1</t>
        </is>
      </c>
      <c r="B21" s="7" t="inlineStr">
        <is>
          <t>NACSA-5.2.2a</t>
        </is>
      </c>
      <c r="C21" s="7" t="inlineStr"/>
      <c r="D21" s="7" t="inlineStr"/>
      <c r="E21" s="7" t="inlineStr">
        <is>
          <t>The objectives shall be effectively communicated to relevant stakeholders, to ensure awareness, responsibility and accou...</t>
        </is>
      </c>
      <c r="F21" s="7" t="inlineStr">
        <is>
          <t>1. Request evidence of communication to relevant stakeholders.
2. Verify communication method is appropriate (training, intranet, briefings).
3. Sample 10 staff — confirm acknowledgement/receipt of communication.
4. Confirm communication is current (reflects latest version).</t>
        </is>
      </c>
      <c r="G21" s="7" t="inlineStr">
        <is>
          <t>Communication records; Staff acknowledgement samples; Intranet/portal screenshots</t>
        </is>
      </c>
      <c r="H21" s="7" t="inlineStr">
        <is>
          <t>Inspection / Inquiry</t>
        </is>
      </c>
      <c r="I21" s="7" t="inlineStr"/>
      <c r="J21" s="7" t="inlineStr"/>
      <c r="K21" s="7" t="inlineStr"/>
      <c r="L21" s="7" t="inlineStr"/>
      <c r="M21" s="7" t="inlineStr"/>
      <c r="N21" s="7" t="inlineStr"/>
    </row>
    <row r="22">
      <c r="A22" s="28" t="inlineStr">
        <is>
          <t>5.2.2.2</t>
        </is>
      </c>
      <c r="B22" s="28" t="inlineStr">
        <is>
          <t>NACSA-5.2.2b</t>
        </is>
      </c>
      <c r="C22" s="28" t="inlineStr"/>
      <c r="D22" s="28" t="inlineStr"/>
      <c r="E22" s="28" t="inlineStr">
        <is>
          <t>The NCII entity must establish a structured communication plan that ensures all relevant stakeholders understand their r...</t>
        </is>
      </c>
      <c r="F22" s="28" t="inlineStr">
        <is>
          <t>1. Request evidence of communication to relevant stakeholders.
2. Verify communication method is appropriate (training, intranet, briefings).
3. Sample 10 staff — confirm acknowledgement/receipt of communication.
4. Confirm communication is current (reflects latest version).</t>
        </is>
      </c>
      <c r="G22" s="28" t="inlineStr">
        <is>
          <t>Communication records; Staff acknowledgement samples; Intranet/portal screenshots</t>
        </is>
      </c>
      <c r="H22" s="28" t="inlineStr">
        <is>
          <t>Inspection / Inquiry</t>
        </is>
      </c>
      <c r="I22" s="28" t="inlineStr"/>
      <c r="J22" s="28" t="inlineStr"/>
      <c r="K22" s="28" t="inlineStr"/>
      <c r="L22" s="28" t="inlineStr"/>
      <c r="M22" s="28" t="inlineStr"/>
      <c r="N22" s="28" t="inlineStr"/>
    </row>
    <row r="23">
      <c r="A23" s="25" t="inlineStr">
        <is>
          <t>5.2.3</t>
        </is>
      </c>
      <c r="B23" s="25" t="inlineStr">
        <is>
          <t>NACSA-5.2.3</t>
        </is>
      </c>
      <c r="C23" s="25" t="inlineStr">
        <is>
          <t>ORG</t>
        </is>
      </c>
      <c r="D23" s="25" t="inlineStr">
        <is>
          <t>Monitoring and Reporting</t>
        </is>
      </c>
      <c r="E23" s="25" t="inlineStr">
        <is>
          <t>Assess 2 mandatory requirement(s) + 1 improvement opportunity(ies)</t>
        </is>
      </c>
      <c r="F23" s="25" t="inlineStr"/>
      <c r="G23" s="25" t="inlineStr"/>
      <c r="H23" s="25" t="inlineStr"/>
      <c r="I23" s="25" t="inlineStr"/>
      <c r="J23" s="25" t="inlineStr"/>
      <c r="K23" s="25" t="inlineStr"/>
      <c r="L23" s="25" t="inlineStr"/>
      <c r="M23" s="26" t="inlineStr"/>
      <c r="N23" s="26" t="inlineStr"/>
    </row>
    <row r="24">
      <c r="A24" s="7" t="inlineStr">
        <is>
          <t>5.2.3.1</t>
        </is>
      </c>
      <c r="B24" s="7" t="inlineStr">
        <is>
          <t>NACSA-5.2.3a</t>
        </is>
      </c>
      <c r="C24" s="7" t="inlineStr"/>
      <c r="D24" s="7" t="inlineStr"/>
      <c r="E24" s="7" t="inlineStr">
        <is>
          <t>The objectives shall be continuously monitored, tracked and reported annually to the relevant cyber security governance ...</t>
        </is>
      </c>
      <c r="F24" s="7" t="inlineStr">
        <is>
          <t>1. Request the Security Monitoring Procedure (SMP) document.
2. Verify SIEM log source coverage — cross-reference against NCII asset inventory.
3. Review 20 alerts from the last 30 days — verify triage within defined SLAs.
4. Check MTTD and MTTR metrics are measured and trending.</t>
        </is>
      </c>
      <c r="G24" s="7" t="inlineStr">
        <is>
          <t>Approved policy/procedure document; Committee approval record; Version history</t>
        </is>
      </c>
      <c r="H24" s="7" t="inlineStr">
        <is>
          <t>Inspection</t>
        </is>
      </c>
      <c r="I24" s="7" t="inlineStr"/>
      <c r="J24" s="7" t="inlineStr"/>
      <c r="K24" s="7" t="inlineStr"/>
      <c r="L24" s="7" t="inlineStr"/>
      <c r="M24" s="7" t="inlineStr"/>
      <c r="N24" s="7" t="inlineStr"/>
    </row>
    <row r="25">
      <c r="A25" s="27" t="inlineStr">
        <is>
          <t>5.2.3.2</t>
        </is>
      </c>
      <c r="B25" s="27" t="inlineStr">
        <is>
          <t>NACSA-5.2.3b</t>
        </is>
      </c>
      <c r="C25" s="27" t="inlineStr"/>
      <c r="D25" s="27" t="inlineStr"/>
      <c r="E25" s="27" t="inlineStr">
        <is>
          <t>(Tier 2 -- Improvement Opportunity) The NCII entity should have a monitoring mechanism to validate compliance with t...</t>
        </is>
      </c>
      <c r="F25" s="27" t="inlineStr">
        <is>
          <t>1. Request the monitoring procedure/SMP.
2. Verify monitoring tools deployed (SIEM, IDPS, EDR).
3. Check log source coverage includes all NCII systems.
4. Review MTTD/MTTR KPI performance for the assessment period.</t>
        </is>
      </c>
      <c r="G25" s="27" t="inlineStr">
        <is>
          <t>Monitoring procedure; Tool deployment evidence; Log source inventory; KPI dashboard/reports</t>
        </is>
      </c>
      <c r="H25" s="27" t="inlineStr">
        <is>
          <t>Inspection</t>
        </is>
      </c>
      <c r="I25" s="27" t="inlineStr"/>
      <c r="J25" s="27" t="inlineStr"/>
      <c r="K25" s="27" t="inlineStr"/>
      <c r="L25" s="27" t="inlineStr"/>
      <c r="M25" s="27" t="inlineStr"/>
      <c r="N25" s="27" t="inlineStr"/>
    </row>
    <row r="26">
      <c r="A26" s="7" t="inlineStr">
        <is>
          <t>5.2.3.3</t>
        </is>
      </c>
      <c r="B26" s="7" t="inlineStr">
        <is>
          <t>NACSA-5.2.3c</t>
        </is>
      </c>
      <c r="C26" s="7" t="inlineStr"/>
      <c r="D26" s="7" t="inlineStr"/>
      <c r="E26" s="7" t="inlineStr">
        <is>
          <t>A cyber security report shall be submitted to the relevant cyber security governance committee established for this purp...</t>
        </is>
      </c>
      <c r="F26" s="7" t="inlineStr">
        <is>
          <t>1. Request the report/submission with date stamps.
2. Verify submission was made within the required timeline.
3. Check the report contains all mandatory elements specified in the clause.
4. Confirm submission to both CE NACSA and the sector lead (if required).</t>
        </is>
      </c>
      <c r="G26" s="7" t="inlineStr">
        <is>
          <t>Approved policy/procedure document; Committee approval record; Version history</t>
        </is>
      </c>
      <c r="H26" s="7" t="inlineStr">
        <is>
          <t>Inspection</t>
        </is>
      </c>
      <c r="I26" s="7" t="inlineStr"/>
      <c r="J26" s="7" t="inlineStr"/>
      <c r="K26" s="7" t="inlineStr"/>
      <c r="L26" s="7" t="inlineStr"/>
      <c r="M26" s="7" t="inlineStr"/>
      <c r="N26" s="7" t="inlineStr"/>
    </row>
  </sheetData>
  <mergeCells count="2">
    <mergeCell ref="A3:N3"/>
    <mergeCell ref="A2:N2"/>
  </mergeCells>
  <conditionalFormatting sqref="M4:M27">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26"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6.0 — Organisational Development (Organisation-Level)</t>
        </is>
      </c>
      <c r="B2" s="38" t="n"/>
      <c r="C2" s="38" t="n"/>
      <c r="D2" s="38" t="n"/>
      <c r="E2" s="38" t="n"/>
      <c r="F2" s="38" t="n"/>
      <c r="G2" s="38" t="n"/>
      <c r="H2" s="38" t="n"/>
      <c r="I2" s="38" t="n"/>
      <c r="J2" s="38" t="n"/>
      <c r="K2" s="38" t="n"/>
      <c r="L2" s="38" t="n"/>
      <c r="M2" s="38" t="n"/>
      <c r="N2" s="39" t="n"/>
    </row>
    <row r="3" ht="60" customHeight="1">
      <c r="A3" s="23" t="inlineStr">
        <is>
          <t>WHY: People are both the strongest and weakest link. Adequate staffing, budget, authority contacts (NC4/NACSA), and security awareness ensure the organisation can detect, prevent, and respond to threats.
WHAT GOOD LOOKS LIKE: Qualified CISO/ICTSO with defined team, dedicated budget, current NC4/NACSA contacts, annual training plan with measured effectiveness, phishing simulations.
KEY RISK IF ABSENT: Understaffed security function, untrained users susceptible to social engineering, inability to contact authorities during incidents.</t>
        </is>
      </c>
      <c r="B3" s="38" t="n"/>
      <c r="C3" s="38" t="n"/>
      <c r="D3" s="38" t="n"/>
      <c r="E3" s="38" t="n"/>
      <c r="F3" s="38" t="n"/>
      <c r="G3" s="38" t="n"/>
      <c r="H3" s="38" t="n"/>
      <c r="I3" s="38" t="n"/>
      <c r="J3" s="38" t="n"/>
      <c r="K3" s="38" t="n"/>
      <c r="L3" s="38" t="n"/>
      <c r="M3" s="38" t="n"/>
      <c r="N3" s="39" t="n"/>
    </row>
    <row r="4">
      <c r="A4" s="25" t="inlineStr">
        <is>
          <t>6.1.1</t>
        </is>
      </c>
      <c r="B4" s="25" t="inlineStr">
        <is>
          <t>NACSA-6.1.1</t>
        </is>
      </c>
      <c r="C4" s="25" t="inlineStr">
        <is>
          <t>ORG</t>
        </is>
      </c>
      <c r="D4" s="25" t="inlineStr">
        <is>
          <t>Definition of Roles and Responsibilities</t>
        </is>
      </c>
      <c r="E4" s="25" t="inlineStr">
        <is>
          <t>Assess 2 mandatory requirement(s)</t>
        </is>
      </c>
      <c r="F4" s="25" t="inlineStr"/>
      <c r="G4" s="25" t="inlineStr"/>
      <c r="H4" s="25" t="inlineStr"/>
      <c r="I4" s="25" t="inlineStr"/>
      <c r="J4" s="25" t="inlineStr"/>
      <c r="K4" s="25" t="inlineStr"/>
      <c r="L4" s="25" t="inlineStr"/>
      <c r="M4" s="26" t="inlineStr"/>
      <c r="N4" s="26" t="inlineStr"/>
    </row>
    <row r="5">
      <c r="A5" s="7" t="inlineStr">
        <is>
          <t>6.1.1.1</t>
        </is>
      </c>
      <c r="B5" s="7" t="inlineStr">
        <is>
          <t>NACSA-6.1.1a</t>
        </is>
      </c>
      <c r="C5" s="7" t="inlineStr"/>
      <c r="D5" s="7" t="inlineStr"/>
      <c r="E5" s="7" t="inlineStr">
        <is>
          <t>The NCII entity shall establish well-defined cyber security roles and responsibilities that includes:
- Chief Informatio...</t>
        </is>
      </c>
      <c r="F5"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6.1.1.1.</t>
        </is>
      </c>
      <c r="G5" s="7" t="inlineStr">
        <is>
          <t>Approved policy/procedure document; Committee approval record; Version history</t>
        </is>
      </c>
      <c r="H5" s="7" t="inlineStr">
        <is>
          <t>Inspection</t>
        </is>
      </c>
      <c r="I5" s="7" t="inlineStr"/>
      <c r="J5" s="7" t="inlineStr"/>
      <c r="K5" s="7" t="inlineStr"/>
      <c r="L5" s="7" t="inlineStr"/>
      <c r="M5" s="7" t="inlineStr"/>
      <c r="N5" s="7" t="inlineStr"/>
    </row>
    <row r="6">
      <c r="A6" s="28" t="inlineStr">
        <is>
          <t>6.1.1.2</t>
        </is>
      </c>
      <c r="B6" s="28" t="inlineStr">
        <is>
          <t>NACSA-6.1.1b</t>
        </is>
      </c>
      <c r="C6" s="28" t="inlineStr"/>
      <c r="D6" s="28" t="inlineStr"/>
      <c r="E6" s="28" t="inlineStr">
        <is>
          <t>Each role shall have a documented description, including job scopes, level of authority and reporting lines.</t>
        </is>
      </c>
      <c r="F6"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6.1.1.2.</t>
        </is>
      </c>
      <c r="G6" s="28" t="inlineStr">
        <is>
          <t>Relevant policy/procedure; Implementation evidence; Review/monitoring records</t>
        </is>
      </c>
      <c r="H6" s="28" t="inlineStr">
        <is>
          <t>Inspection</t>
        </is>
      </c>
      <c r="I6" s="28" t="inlineStr"/>
      <c r="J6" s="28" t="inlineStr"/>
      <c r="K6" s="28" t="inlineStr"/>
      <c r="L6" s="28" t="inlineStr"/>
      <c r="M6" s="28" t="inlineStr"/>
      <c r="N6" s="28" t="inlineStr"/>
    </row>
    <row r="7">
      <c r="A7" s="25" t="inlineStr">
        <is>
          <t>6.1.2</t>
        </is>
      </c>
      <c r="B7" s="25" t="inlineStr">
        <is>
          <t>NACSA-6.1.2</t>
        </is>
      </c>
      <c r="C7" s="25" t="inlineStr">
        <is>
          <t>ORG</t>
        </is>
      </c>
      <c r="D7" s="25" t="inlineStr">
        <is>
          <t>Communication of Roles and Responsibilities</t>
        </is>
      </c>
      <c r="E7" s="25" t="inlineStr">
        <is>
          <t>Assess 1 mandatory requirement(s)</t>
        </is>
      </c>
      <c r="F7" s="25" t="inlineStr"/>
      <c r="G7" s="25" t="inlineStr"/>
      <c r="H7" s="25" t="inlineStr"/>
      <c r="I7" s="25" t="inlineStr"/>
      <c r="J7" s="25" t="inlineStr"/>
      <c r="K7" s="25" t="inlineStr"/>
      <c r="L7" s="25" t="inlineStr"/>
      <c r="M7" s="26" t="inlineStr"/>
      <c r="N7" s="26" t="inlineStr"/>
    </row>
    <row r="8">
      <c r="A8" s="7" t="inlineStr">
        <is>
          <t>6.1.2.1</t>
        </is>
      </c>
      <c r="B8" s="7" t="inlineStr">
        <is>
          <t>NACSA-6.1.2a</t>
        </is>
      </c>
      <c r="C8" s="7" t="inlineStr"/>
      <c r="D8" s="7" t="inlineStr"/>
      <c r="E8" s="7" t="inlineStr">
        <is>
          <t>The defined cyber security roles and responsibilities shall be formally documented and communicated to relevant stakehol...</t>
        </is>
      </c>
      <c r="F8" s="7" t="inlineStr">
        <is>
          <t>1. Request evidence of communication to relevant stakeholders.
2. Verify communication method is appropriate (training, intranet, briefings).
3. Sample 10 staff — confirm acknowledgement/receipt of communication.
4. Confirm communication is current (reflects latest version).</t>
        </is>
      </c>
      <c r="G8" s="7" t="inlineStr">
        <is>
          <t>Communication records; Staff acknowledgement samples; Intranet/portal screenshots</t>
        </is>
      </c>
      <c r="H8" s="7" t="inlineStr">
        <is>
          <t>Inspection / Inquiry</t>
        </is>
      </c>
      <c r="I8" s="7" t="inlineStr"/>
      <c r="J8" s="7" t="inlineStr"/>
      <c r="K8" s="7" t="inlineStr"/>
      <c r="L8" s="7" t="inlineStr"/>
      <c r="M8" s="7" t="inlineStr"/>
      <c r="N8" s="7" t="inlineStr"/>
    </row>
    <row r="9">
      <c r="A9" s="25" t="inlineStr">
        <is>
          <t>6.1.3</t>
        </is>
      </c>
      <c r="B9" s="25" t="inlineStr">
        <is>
          <t>NACSA-6.1.3</t>
        </is>
      </c>
      <c r="C9" s="25" t="inlineStr">
        <is>
          <t>ORG</t>
        </is>
      </c>
      <c r="D9" s="25" t="inlineStr">
        <is>
          <t>Allocation of Resources</t>
        </is>
      </c>
      <c r="E9" s="25" t="inlineStr">
        <is>
          <t>Assess 3 mandatory requirement(s)</t>
        </is>
      </c>
      <c r="F9" s="25" t="inlineStr"/>
      <c r="G9" s="25" t="inlineStr"/>
      <c r="H9" s="25" t="inlineStr"/>
      <c r="I9" s="25" t="inlineStr"/>
      <c r="J9" s="25" t="inlineStr"/>
      <c r="K9" s="25" t="inlineStr"/>
      <c r="L9" s="25" t="inlineStr"/>
      <c r="M9" s="26" t="inlineStr"/>
      <c r="N9" s="26" t="inlineStr"/>
    </row>
    <row r="10">
      <c r="A10" s="28" t="inlineStr">
        <is>
          <t>6.1.3.1</t>
        </is>
      </c>
      <c r="B10" s="28" t="inlineStr">
        <is>
          <t>NACSA-6.1.3a</t>
        </is>
      </c>
      <c r="C10" s="28" t="inlineStr"/>
      <c r="D10" s="28" t="inlineStr"/>
      <c r="E10" s="28" t="inlineStr">
        <is>
          <t>Manpower and financial resources shall be assigned according to the defined cyber security roles and responsibilities.</t>
        </is>
      </c>
      <c r="F10"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6.1.3.1.</t>
        </is>
      </c>
      <c r="G10" s="28" t="inlineStr">
        <is>
          <t>Relevant policy/procedure; Implementation evidence; Review/monitoring records</t>
        </is>
      </c>
      <c r="H10" s="28" t="inlineStr">
        <is>
          <t>Inspection</t>
        </is>
      </c>
      <c r="I10" s="28" t="inlineStr"/>
      <c r="J10" s="28" t="inlineStr"/>
      <c r="K10" s="28" t="inlineStr"/>
      <c r="L10" s="28" t="inlineStr"/>
      <c r="M10" s="28" t="inlineStr"/>
      <c r="N10" s="28" t="inlineStr"/>
    </row>
    <row r="11">
      <c r="A11" s="7" t="inlineStr">
        <is>
          <t>6.1.3.2</t>
        </is>
      </c>
      <c r="B11" s="7" t="inlineStr">
        <is>
          <t>NACSA-6.1.3b</t>
        </is>
      </c>
      <c r="C11" s="7" t="inlineStr"/>
      <c r="D11" s="7" t="inlineStr"/>
      <c r="E11" s="7" t="inlineStr">
        <is>
          <t>The NCII entity shall ensure that sufficient qualified personnel are available to effectively implement, manage and main...</t>
        </is>
      </c>
      <c r="F11"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6.1.3.2.</t>
        </is>
      </c>
      <c r="G11" s="7" t="inlineStr">
        <is>
          <t>Relevant policy/procedure; Implementation evidence; Review/monitoring records</t>
        </is>
      </c>
      <c r="H11" s="7" t="inlineStr">
        <is>
          <t>Inspection</t>
        </is>
      </c>
      <c r="I11" s="7" t="inlineStr"/>
      <c r="J11" s="7" t="inlineStr"/>
      <c r="K11" s="7" t="inlineStr"/>
      <c r="L11" s="7" t="inlineStr"/>
      <c r="M11" s="7" t="inlineStr"/>
      <c r="N11" s="7" t="inlineStr"/>
    </row>
    <row r="12">
      <c r="A12" s="28" t="inlineStr">
        <is>
          <t>6.1.3.3</t>
        </is>
      </c>
      <c r="B12" s="28" t="inlineStr">
        <is>
          <t>NACSA-6.1.3c</t>
        </is>
      </c>
      <c r="C12" s="28" t="inlineStr"/>
      <c r="D12" s="28" t="inlineStr"/>
      <c r="E12" s="28" t="inlineStr">
        <is>
          <t>A dedicated cyber security budget shall be allocated to support the implementation of the cyber security strategy that i...</t>
        </is>
      </c>
      <c r="F12" s="28" t="inlineStr">
        <is>
          <t>1. Request training plan and records for the assessment period.
2. Verify training content covers required topics per CoP clause.
3. Check completion rates (target: 100% for mandatory training).
4. Review effectiveness evaluation results (post-training assessments).</t>
        </is>
      </c>
      <c r="G12" s="28" t="inlineStr">
        <is>
          <t>Training plan; Completion records/LMS reports; Assessment results; Training materials</t>
        </is>
      </c>
      <c r="H12" s="28" t="inlineStr">
        <is>
          <t>Inspection</t>
        </is>
      </c>
      <c r="I12" s="28" t="inlineStr"/>
      <c r="J12" s="28" t="inlineStr"/>
      <c r="K12" s="28" t="inlineStr"/>
      <c r="L12" s="28" t="inlineStr"/>
      <c r="M12" s="28" t="inlineStr"/>
      <c r="N12" s="28" t="inlineStr"/>
    </row>
    <row r="13">
      <c r="A13" s="25" t="inlineStr">
        <is>
          <t>6.1.4</t>
        </is>
      </c>
      <c r="B13" s="25" t="inlineStr">
        <is>
          <t>NACSA-6.1.4</t>
        </is>
      </c>
      <c r="C13" s="25" t="inlineStr">
        <is>
          <t>ORG</t>
        </is>
      </c>
      <c r="D13" s="25" t="inlineStr">
        <is>
          <t>Review of Resources</t>
        </is>
      </c>
      <c r="E13" s="25" t="inlineStr">
        <is>
          <t>Assess 2 mandatory requirement(s)</t>
        </is>
      </c>
      <c r="F13" s="25" t="inlineStr"/>
      <c r="G13" s="25" t="inlineStr"/>
      <c r="H13" s="25" t="inlineStr"/>
      <c r="I13" s="25" t="inlineStr"/>
      <c r="J13" s="25" t="inlineStr"/>
      <c r="K13" s="25" t="inlineStr"/>
      <c r="L13" s="25" t="inlineStr"/>
      <c r="M13" s="26" t="inlineStr"/>
      <c r="N13" s="26" t="inlineStr"/>
    </row>
    <row r="14">
      <c r="A14" s="7" t="inlineStr">
        <is>
          <t>6.1.4.1</t>
        </is>
      </c>
      <c r="B14" s="7" t="inlineStr">
        <is>
          <t>NACSA-6.1.4a</t>
        </is>
      </c>
      <c r="C14" s="7" t="inlineStr"/>
      <c r="D14" s="7" t="inlineStr"/>
      <c r="E14" s="7" t="inlineStr">
        <is>
          <t>The allocation of cyber security resources shall be reviewed annually and / or updated as necessary, based on factors su...</t>
        </is>
      </c>
      <c r="F14" s="7"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14" s="7" t="inlineStr">
        <is>
          <t>Review report/minutes; Updated document post-review; Approval of changes</t>
        </is>
      </c>
      <c r="H14" s="7" t="inlineStr">
        <is>
          <t>Inspection</t>
        </is>
      </c>
      <c r="I14" s="7" t="inlineStr"/>
      <c r="J14" s="7" t="inlineStr"/>
      <c r="K14" s="7" t="inlineStr"/>
      <c r="L14" s="7" t="inlineStr"/>
      <c r="M14" s="7" t="inlineStr"/>
      <c r="N14" s="7" t="inlineStr"/>
    </row>
    <row r="15">
      <c r="A15" s="28" t="inlineStr">
        <is>
          <t>6.1.4.2</t>
        </is>
      </c>
      <c r="B15" s="28" t="inlineStr">
        <is>
          <t>NACSA-6.1.4b</t>
        </is>
      </c>
      <c r="C15" s="28" t="inlineStr"/>
      <c r="D15" s="28" t="inlineStr"/>
      <c r="E15" s="28" t="inlineStr">
        <is>
          <t>Input for the review shall be obtained from the following stakeholders:
- Cyber security team / IT department
- Human Re...</t>
        </is>
      </c>
      <c r="F15" s="28" t="inlineStr">
        <is>
          <t>1. Request evidence of communication to stakeholders — emails, portal announcements, signed acknowledgements.
2. Sample 10 acknowledgement records to verify staff received and understood the communication.
3. Verify communication covers all relevant parties including contractors and third parties with NCII access.
4. Check the communication is current (not an outdated version).</t>
        </is>
      </c>
      <c r="G15" s="28" t="inlineStr">
        <is>
          <t>Relevant policy/procedure; Implementation evidence; Review/monitoring records</t>
        </is>
      </c>
      <c r="H15" s="28" t="inlineStr">
        <is>
          <t>Inspection</t>
        </is>
      </c>
      <c r="I15" s="28" t="inlineStr"/>
      <c r="J15" s="28" t="inlineStr"/>
      <c r="K15" s="28" t="inlineStr"/>
      <c r="L15" s="28" t="inlineStr"/>
      <c r="M15" s="28" t="inlineStr"/>
      <c r="N15" s="28" t="inlineStr"/>
    </row>
    <row r="16">
      <c r="A16" s="25" t="inlineStr">
        <is>
          <t>6.2.1</t>
        </is>
      </c>
      <c r="B16" s="25" t="inlineStr">
        <is>
          <t>NACSA-6.2.1</t>
        </is>
      </c>
      <c r="C16" s="25" t="inlineStr">
        <is>
          <t>ORG</t>
        </is>
      </c>
      <c r="D16" s="25" t="inlineStr">
        <is>
          <t>Establishment of Contacts</t>
        </is>
      </c>
      <c r="E16" s="25" t="inlineStr">
        <is>
          <t>Assess 2 mandatory requirement(s)</t>
        </is>
      </c>
      <c r="F16" s="25" t="inlineStr"/>
      <c r="G16" s="25" t="inlineStr"/>
      <c r="H16" s="25" t="inlineStr"/>
      <c r="I16" s="25" t="inlineStr"/>
      <c r="J16" s="25" t="inlineStr"/>
      <c r="K16" s="25" t="inlineStr"/>
      <c r="L16" s="25" t="inlineStr"/>
      <c r="M16" s="26" t="inlineStr"/>
      <c r="N16" s="26" t="inlineStr"/>
    </row>
    <row r="17">
      <c r="A17" s="7" t="inlineStr">
        <is>
          <t>6.2.1.1</t>
        </is>
      </c>
      <c r="B17" s="7" t="inlineStr">
        <is>
          <t>NACSA-6.2.1a</t>
        </is>
      </c>
      <c r="C17" s="7" t="inlineStr"/>
      <c r="D17" s="7" t="inlineStr"/>
      <c r="E17" s="7" t="inlineStr">
        <is>
          <t>The NCII entity shall establish contacts with relevant authorities and special interest groups, including:
- National Cy...</t>
        </is>
      </c>
      <c r="F17"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6.2.1.1.</t>
        </is>
      </c>
      <c r="G17" s="7" t="inlineStr">
        <is>
          <t>Approved policy/procedure document; Committee approval record; Version history</t>
        </is>
      </c>
      <c r="H17" s="7" t="inlineStr">
        <is>
          <t>Inspection</t>
        </is>
      </c>
      <c r="I17" s="7" t="inlineStr"/>
      <c r="J17" s="7" t="inlineStr"/>
      <c r="K17" s="7" t="inlineStr"/>
      <c r="L17" s="7" t="inlineStr"/>
      <c r="M17" s="7" t="inlineStr"/>
      <c r="N17" s="7" t="inlineStr"/>
    </row>
    <row r="18">
      <c r="A18" s="28" t="inlineStr">
        <is>
          <t>6.2.1.2</t>
        </is>
      </c>
      <c r="B18" s="28" t="inlineStr">
        <is>
          <t>NACSA-6.2.1b</t>
        </is>
      </c>
      <c r="C18" s="28" t="inlineStr"/>
      <c r="D18" s="28" t="inlineStr"/>
      <c r="E18" s="28" t="inlineStr">
        <is>
          <t>The NCII entity shall maintain an up-to-date list, including direct phone numbers, email addresses, and jurisdiction det...</t>
        </is>
      </c>
      <c r="F18"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6.2.1.2.</t>
        </is>
      </c>
      <c r="G18" s="28" t="inlineStr">
        <is>
          <t>Relevant policy/procedure; Implementation evidence; Review/monitoring records</t>
        </is>
      </c>
      <c r="H18" s="28" t="inlineStr">
        <is>
          <t>Inspection</t>
        </is>
      </c>
      <c r="I18" s="28" t="inlineStr"/>
      <c r="J18" s="28" t="inlineStr"/>
      <c r="K18" s="28" t="inlineStr"/>
      <c r="L18" s="28" t="inlineStr"/>
      <c r="M18" s="28" t="inlineStr"/>
      <c r="N18" s="28" t="inlineStr"/>
    </row>
    <row r="19">
      <c r="A19" s="25" t="inlineStr">
        <is>
          <t>6.2.2</t>
        </is>
      </c>
      <c r="B19" s="25" t="inlineStr">
        <is>
          <t>NACSA-6.2.2</t>
        </is>
      </c>
      <c r="C19" s="25" t="inlineStr">
        <is>
          <t>ORG</t>
        </is>
      </c>
      <c r="D19" s="25" t="inlineStr">
        <is>
          <t>Communication of Contacts</t>
        </is>
      </c>
      <c r="E19" s="25" t="inlineStr">
        <is>
          <t>Assess 2 mandatory requirement(s)</t>
        </is>
      </c>
      <c r="F19" s="25" t="inlineStr"/>
      <c r="G19" s="25" t="inlineStr"/>
      <c r="H19" s="25" t="inlineStr"/>
      <c r="I19" s="25" t="inlineStr"/>
      <c r="J19" s="25" t="inlineStr"/>
      <c r="K19" s="25" t="inlineStr"/>
      <c r="L19" s="25" t="inlineStr"/>
      <c r="M19" s="26" t="inlineStr"/>
      <c r="N19" s="26" t="inlineStr"/>
    </row>
    <row r="20">
      <c r="A20" s="7" t="inlineStr">
        <is>
          <t>6.2.2.1</t>
        </is>
      </c>
      <c r="B20" s="7" t="inlineStr">
        <is>
          <t>NACSA-6.2.2a</t>
        </is>
      </c>
      <c r="C20" s="7" t="inlineStr"/>
      <c r="D20" s="7" t="inlineStr"/>
      <c r="E20" s="7" t="inlineStr">
        <is>
          <t>The contact information for relevant authorities and special interest groups shall be shared with stakeholders, ensuring...</t>
        </is>
      </c>
      <c r="F20" s="7" t="inlineStr">
        <is>
          <t>1. Request the incident management procedure (CSIMP).
2. Verify CSIRT membership and authorised person designations.
3. Confirm NC4 portal access and 6-hour notification capability.
4. Review incident log and tabletop exercise results.</t>
        </is>
      </c>
      <c r="G20" s="7" t="inlineStr">
        <is>
          <t>CSIMP document; CSIRT charter; NC4 portal evidence; Incident log; Tabletop results</t>
        </is>
      </c>
      <c r="H20" s="7" t="inlineStr">
        <is>
          <t>Inspection</t>
        </is>
      </c>
      <c r="I20" s="7" t="inlineStr"/>
      <c r="J20" s="7" t="inlineStr"/>
      <c r="K20" s="7" t="inlineStr"/>
      <c r="L20" s="7" t="inlineStr"/>
      <c r="M20" s="7" t="inlineStr"/>
      <c r="N20" s="7" t="inlineStr"/>
    </row>
    <row r="21">
      <c r="A21" s="28" t="inlineStr">
        <is>
          <t>6.2.2.2</t>
        </is>
      </c>
      <c r="B21" s="28" t="inlineStr">
        <is>
          <t>NACSA-6.2.2b</t>
        </is>
      </c>
      <c r="C21" s="28" t="inlineStr"/>
      <c r="D21" s="28" t="inlineStr"/>
      <c r="E21" s="28" t="inlineStr">
        <is>
          <t>Communication channels shall be established through medium communication such as information security bulletin / handboo...</t>
        </is>
      </c>
      <c r="F21" s="28" t="inlineStr">
        <is>
          <t>1. Request evidence of communication to stakeholders — emails, portal announcements, signed acknowledgements.
2. Sample 10 acknowledgement records to verify staff received and understood the communication.
3. Verify communication covers all relevant parties including contractors and third parties with NCII access.
4. Check the communication is current (not an outdated version).</t>
        </is>
      </c>
      <c r="G21" s="28" t="inlineStr">
        <is>
          <t>Approved policy/procedure document; Committee approval record; Version history</t>
        </is>
      </c>
      <c r="H21" s="28" t="inlineStr">
        <is>
          <t>Inspection / Inquiry</t>
        </is>
      </c>
      <c r="I21" s="28" t="inlineStr"/>
      <c r="J21" s="28" t="inlineStr"/>
      <c r="K21" s="28" t="inlineStr"/>
      <c r="L21" s="28" t="inlineStr"/>
      <c r="M21" s="28" t="inlineStr"/>
      <c r="N21" s="28" t="inlineStr"/>
    </row>
    <row r="22">
      <c r="A22" s="25" t="inlineStr">
        <is>
          <t>6.2.3</t>
        </is>
      </c>
      <c r="B22" s="25" t="inlineStr">
        <is>
          <t>NACSA-6.2.3</t>
        </is>
      </c>
      <c r="C22" s="25" t="inlineStr">
        <is>
          <t>ORG</t>
        </is>
      </c>
      <c r="D22" s="25" t="inlineStr">
        <is>
          <t>Review of Contacts</t>
        </is>
      </c>
      <c r="E22" s="25" t="inlineStr">
        <is>
          <t>Assess 2 mandatory requirement(s)</t>
        </is>
      </c>
      <c r="F22" s="25" t="inlineStr"/>
      <c r="G22" s="25" t="inlineStr"/>
      <c r="H22" s="25" t="inlineStr"/>
      <c r="I22" s="25" t="inlineStr"/>
      <c r="J22" s="25" t="inlineStr"/>
      <c r="K22" s="25" t="inlineStr"/>
      <c r="L22" s="25" t="inlineStr"/>
      <c r="M22" s="26" t="inlineStr"/>
      <c r="N22" s="26" t="inlineStr"/>
    </row>
    <row r="23">
      <c r="A23" s="7" t="inlineStr">
        <is>
          <t>6.2.3.1</t>
        </is>
      </c>
      <c r="B23" s="7" t="inlineStr">
        <is>
          <t>NACSA-6.2.3a</t>
        </is>
      </c>
      <c r="C23" s="7" t="inlineStr"/>
      <c r="D23" s="7" t="inlineStr"/>
      <c r="E23" s="7" t="inlineStr">
        <is>
          <t>The list of cyber security authorities and special interest groups shall be reviewed annually and / or in response to si...</t>
        </is>
      </c>
      <c r="F23" s="7"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23" s="7" t="inlineStr">
        <is>
          <t>Review report/minutes; Updated document post-review; Approval of changes</t>
        </is>
      </c>
      <c r="H23" s="7" t="inlineStr">
        <is>
          <t>Inspection</t>
        </is>
      </c>
      <c r="I23" s="7" t="inlineStr"/>
      <c r="J23" s="7" t="inlineStr"/>
      <c r="K23" s="7" t="inlineStr"/>
      <c r="L23" s="7" t="inlineStr"/>
      <c r="M23" s="7" t="inlineStr"/>
      <c r="N23" s="7" t="inlineStr"/>
    </row>
    <row r="24">
      <c r="A24" s="28" t="inlineStr">
        <is>
          <t>6.2.3.2</t>
        </is>
      </c>
      <c r="B24" s="28" t="inlineStr">
        <is>
          <t>NACSA-6.2.3b</t>
        </is>
      </c>
      <c r="C24" s="28" t="inlineStr"/>
      <c r="D24" s="28" t="inlineStr"/>
      <c r="E24" s="28" t="inlineStr">
        <is>
          <t>Any updates to the list must be promptly communicated to all employees to ensure awareness and compliance.</t>
        </is>
      </c>
      <c r="F24" s="28" t="inlineStr">
        <is>
          <t>1. Request evidence of communication to relevant stakeholders.
2. Verify communication method is appropriate (training, intranet, briefings).
3. Sample 10 staff — confirm acknowledgement/receipt of communication.
4. Confirm communication is current (reflects latest version).</t>
        </is>
      </c>
      <c r="G24" s="28" t="inlineStr">
        <is>
          <t>Communication records; Staff acknowledgement samples; Intranet/portal screenshots</t>
        </is>
      </c>
      <c r="H24" s="28" t="inlineStr">
        <is>
          <t>Inspection / Inquiry</t>
        </is>
      </c>
      <c r="I24" s="28" t="inlineStr"/>
      <c r="J24" s="28" t="inlineStr"/>
      <c r="K24" s="28" t="inlineStr"/>
      <c r="L24" s="28" t="inlineStr"/>
      <c r="M24" s="28" t="inlineStr"/>
      <c r="N24" s="28" t="inlineStr"/>
    </row>
    <row r="25">
      <c r="A25" s="25" t="inlineStr">
        <is>
          <t>6.3.1</t>
        </is>
      </c>
      <c r="B25" s="25" t="inlineStr">
        <is>
          <t>NACSA-6.3.1</t>
        </is>
      </c>
      <c r="C25" s="25" t="inlineStr">
        <is>
          <t>ORG</t>
        </is>
      </c>
      <c r="D25" s="25" t="inlineStr">
        <is>
          <t>Establishment of Training Plan</t>
        </is>
      </c>
      <c r="E25" s="25" t="inlineStr">
        <is>
          <t>Assess 3 mandatory requirement(s)</t>
        </is>
      </c>
      <c r="F25" s="25" t="inlineStr"/>
      <c r="G25" s="25" t="inlineStr"/>
      <c r="H25" s="25" t="inlineStr"/>
      <c r="I25" s="25" t="inlineStr"/>
      <c r="J25" s="25" t="inlineStr"/>
      <c r="K25" s="25" t="inlineStr"/>
      <c r="L25" s="25" t="inlineStr"/>
      <c r="M25" s="26" t="inlineStr"/>
      <c r="N25" s="26" t="inlineStr"/>
    </row>
    <row r="26">
      <c r="A26" s="7" t="inlineStr">
        <is>
          <t>6.3.1.1</t>
        </is>
      </c>
      <c r="B26" s="7" t="inlineStr">
        <is>
          <t>NACSA-6.3.1a</t>
        </is>
      </c>
      <c r="C26" s="7" t="inlineStr"/>
      <c r="D26" s="7" t="inlineStr"/>
      <c r="E26" s="7" t="inlineStr">
        <is>
          <t>The NCII entity shall develop and establish a cyber security awareness and training plan for specific target audience, c...</t>
        </is>
      </c>
      <c r="F26" s="7" t="inlineStr">
        <is>
          <t>1. Request the current plan document with approval records.
2. Verify it is formally approved by the governance committee or top management (check signatures, dates).
3. Confirm it addresses all elements specified in this clause.
4. Verify version control is maintained with change history.</t>
        </is>
      </c>
      <c r="G26" s="7" t="inlineStr">
        <is>
          <t>Approved policy/procedure document; Committee approval record; Version history</t>
        </is>
      </c>
      <c r="H26" s="7" t="inlineStr">
        <is>
          <t>Inspection / Inquiry</t>
        </is>
      </c>
      <c r="I26" s="7" t="inlineStr"/>
      <c r="J26" s="7" t="inlineStr"/>
      <c r="K26" s="7" t="inlineStr"/>
      <c r="L26" s="7" t="inlineStr"/>
      <c r="M26" s="7" t="inlineStr"/>
      <c r="N26" s="7" t="inlineStr"/>
    </row>
    <row r="27">
      <c r="A27" s="28" t="inlineStr">
        <is>
          <t>6.3.1.2</t>
        </is>
      </c>
      <c r="B27" s="28" t="inlineStr">
        <is>
          <t>NACSA-6.3.1b</t>
        </is>
      </c>
      <c r="C27" s="28" t="inlineStr"/>
      <c r="D27" s="28" t="inlineStr"/>
      <c r="E27" s="28" t="inlineStr">
        <is>
          <t>The content of the security awareness training program must be reviewed and updated at least annually, or whenever signi...</t>
        </is>
      </c>
      <c r="F27" s="28"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27" s="28" t="inlineStr">
        <is>
          <t>Review report/minutes; Updated document post-review; Approval of changes</t>
        </is>
      </c>
      <c r="H27" s="28" t="inlineStr">
        <is>
          <t>Inspection / Inquiry</t>
        </is>
      </c>
      <c r="I27" s="28" t="inlineStr"/>
      <c r="J27" s="28" t="inlineStr"/>
      <c r="K27" s="28" t="inlineStr"/>
      <c r="L27" s="28" t="inlineStr"/>
      <c r="M27" s="28" t="inlineStr"/>
      <c r="N27" s="28" t="inlineStr"/>
    </row>
    <row r="28">
      <c r="A28" s="7" t="inlineStr">
        <is>
          <t>6.3.1.3</t>
        </is>
      </c>
      <c r="B28" s="7" t="inlineStr">
        <is>
          <t>NACSA-6.3.1c</t>
        </is>
      </c>
      <c r="C28" s="7" t="inlineStr"/>
      <c r="D28" s="7" t="inlineStr"/>
      <c r="E28" s="7" t="inlineStr">
        <is>
          <t>The training plan must be documented and approved by the relevant cyber security governance committee established for th...</t>
        </is>
      </c>
      <c r="F28" s="7" t="inlineStr">
        <is>
          <t>1. Request training plan and records for the assessment period.
2. Verify training content covers required topics per CoP clause.
3. Check completion rates (target: 100% for mandatory training).
4. Review effectiveness evaluation results (post-training assessments).</t>
        </is>
      </c>
      <c r="G28" s="7" t="inlineStr">
        <is>
          <t>Training plan; Completion records/LMS reports; Assessment results; Training materials</t>
        </is>
      </c>
      <c r="H28" s="7" t="inlineStr">
        <is>
          <t>Inspection / Inquiry</t>
        </is>
      </c>
      <c r="I28" s="7" t="inlineStr"/>
      <c r="J28" s="7" t="inlineStr"/>
      <c r="K28" s="7" t="inlineStr"/>
      <c r="L28" s="7" t="inlineStr"/>
      <c r="M28" s="7" t="inlineStr"/>
      <c r="N28" s="7" t="inlineStr"/>
    </row>
    <row r="29">
      <c r="A29" s="25" t="inlineStr">
        <is>
          <t>6.3.2</t>
        </is>
      </c>
      <c r="B29" s="25" t="inlineStr">
        <is>
          <t>NACSA-6.3.2</t>
        </is>
      </c>
      <c r="C29" s="25" t="inlineStr">
        <is>
          <t>ORG</t>
        </is>
      </c>
      <c r="D29" s="25" t="inlineStr">
        <is>
          <t>Conducting Training Programs</t>
        </is>
      </c>
      <c r="E29" s="25" t="inlineStr">
        <is>
          <t>Assess 1 mandatory requirement(s) + 1 improvement opportunity(ies)</t>
        </is>
      </c>
      <c r="F29" s="25" t="inlineStr"/>
      <c r="G29" s="25" t="inlineStr"/>
      <c r="H29" s="25" t="inlineStr"/>
      <c r="I29" s="25" t="inlineStr"/>
      <c r="J29" s="25" t="inlineStr"/>
      <c r="K29" s="25" t="inlineStr"/>
      <c r="L29" s="25" t="inlineStr"/>
      <c r="M29" s="26" t="inlineStr"/>
      <c r="N29" s="26" t="inlineStr"/>
    </row>
    <row r="30">
      <c r="A30" s="28" t="inlineStr">
        <is>
          <t>6.3.2.1</t>
        </is>
      </c>
      <c r="B30" s="28" t="inlineStr">
        <is>
          <t>NACSA-6.3.2a</t>
        </is>
      </c>
      <c r="C30" s="28" t="inlineStr"/>
      <c r="D30" s="28" t="inlineStr"/>
      <c r="E30" s="28" t="inlineStr">
        <is>
          <t>Cyber security awareness or training programs shall be conducted across the NCII entity at a frequency determined by the...</t>
        </is>
      </c>
      <c r="F30" s="28" t="inlineStr">
        <is>
          <t>1. Request training plan and records for the assessment period.
2. Verify training content covers required topics per CoP clause.
3. Check completion rates (target: 100% for mandatory training).
4. Review effectiveness evaluation results (post-training assessments).</t>
        </is>
      </c>
      <c r="G30" s="28" t="inlineStr">
        <is>
          <t>Training plan; Completion records/LMS reports; Assessment results; Training materials</t>
        </is>
      </c>
      <c r="H30" s="28" t="inlineStr">
        <is>
          <t>Inspection / Inquiry</t>
        </is>
      </c>
      <c r="I30" s="28" t="inlineStr"/>
      <c r="J30" s="28" t="inlineStr"/>
      <c r="K30" s="28" t="inlineStr"/>
      <c r="L30" s="28" t="inlineStr"/>
      <c r="M30" s="28" t="inlineStr"/>
      <c r="N30" s="28" t="inlineStr"/>
    </row>
    <row r="31">
      <c r="A31" s="27" t="inlineStr">
        <is>
          <t>6.3.2.2</t>
        </is>
      </c>
      <c r="B31" s="27" t="inlineStr">
        <is>
          <t>NACSA-6.3.2b</t>
        </is>
      </c>
      <c r="C31" s="27" t="inlineStr"/>
      <c r="D31" s="27" t="inlineStr"/>
      <c r="E31" s="27" t="inlineStr">
        <is>
          <t>(Tier 2 -- Improvement Opportunity) Awareness and training methods may include:
- Workshop and seminars
- Quizzes
- ...</t>
        </is>
      </c>
      <c r="F31" s="27" t="inlineStr">
        <is>
          <t>1. Request training plan and records for the assessment period.
2. Verify training content covers required topics per CoP clause.
3. Check completion rates (target: 100% for mandatory training).
4. Review effectiveness evaluation results (post-training assessments).</t>
        </is>
      </c>
      <c r="G31" s="27" t="inlineStr">
        <is>
          <t>Training plan; Completion records/LMS reports; Assessment results; Training materials</t>
        </is>
      </c>
      <c r="H31" s="27" t="inlineStr">
        <is>
          <t>Inspection / Inquiry</t>
        </is>
      </c>
      <c r="I31" s="27" t="inlineStr"/>
      <c r="J31" s="27" t="inlineStr"/>
      <c r="K31" s="27" t="inlineStr"/>
      <c r="L31" s="27" t="inlineStr"/>
      <c r="M31" s="27" t="inlineStr"/>
      <c r="N31" s="27" t="inlineStr"/>
    </row>
    <row r="32">
      <c r="A32" s="25" t="inlineStr">
        <is>
          <t>6.3.3</t>
        </is>
      </c>
      <c r="B32" s="25" t="inlineStr">
        <is>
          <t>NACSA-6.3.3</t>
        </is>
      </c>
      <c r="C32" s="25" t="inlineStr">
        <is>
          <t>ORG</t>
        </is>
      </c>
      <c r="D32" s="25" t="inlineStr">
        <is>
          <t>Evaluation of Effectiveness</t>
        </is>
      </c>
      <c r="E32" s="25" t="inlineStr">
        <is>
          <t>Assess 1 mandatory requirement(s) + 1 improvement opportunity(ies)</t>
        </is>
      </c>
      <c r="F32" s="25" t="inlineStr"/>
      <c r="G32" s="25" t="inlineStr"/>
      <c r="H32" s="25" t="inlineStr"/>
      <c r="I32" s="25" t="inlineStr"/>
      <c r="J32" s="25" t="inlineStr"/>
      <c r="K32" s="25" t="inlineStr"/>
      <c r="L32" s="25" t="inlineStr"/>
      <c r="M32" s="26" t="inlineStr"/>
      <c r="N32" s="26" t="inlineStr"/>
    </row>
    <row r="33">
      <c r="A33" s="28" t="inlineStr">
        <is>
          <t>6.3.3.1</t>
        </is>
      </c>
      <c r="B33" s="28" t="inlineStr">
        <is>
          <t>NACSA-6.3.3a</t>
        </is>
      </c>
      <c r="C33" s="28" t="inlineStr"/>
      <c r="D33" s="28" t="inlineStr"/>
      <c r="E33" s="28" t="inlineStr">
        <is>
          <t>Upon each program completion, its effectiveness shall be evaluated using methods such as:
- Post-program assessments (qu...</t>
        </is>
      </c>
      <c r="F33" s="28" t="inlineStr">
        <is>
          <t>1. Request the most recent audit/assessment report.
2. Verify it was conducted by an approved/qualified party.
3. Confirm submission to CE NACSA within required timeframe.
4. Check that findings are tracked with remediation plans.</t>
        </is>
      </c>
      <c r="G33" s="28" t="inlineStr">
        <is>
          <t>Audit/assessment report; Assessor qualifications/approval; CE submission confirmation; Remediation tracker</t>
        </is>
      </c>
      <c r="H33" s="28" t="inlineStr">
        <is>
          <t>Inspection</t>
        </is>
      </c>
      <c r="I33" s="28" t="inlineStr"/>
      <c r="J33" s="28" t="inlineStr"/>
      <c r="K33" s="28" t="inlineStr"/>
      <c r="L33" s="28" t="inlineStr"/>
      <c r="M33" s="28" t="inlineStr"/>
      <c r="N33" s="28" t="inlineStr"/>
    </row>
    <row r="34">
      <c r="A34" s="27" t="inlineStr">
        <is>
          <t>6.3.3.2</t>
        </is>
      </c>
      <c r="B34" s="27" t="inlineStr">
        <is>
          <t>NACSA-6.3.3b</t>
        </is>
      </c>
      <c r="C34" s="27" t="inlineStr"/>
      <c r="D34" s="27" t="inlineStr"/>
      <c r="E34" s="27" t="inlineStr">
        <is>
          <t>(Tier 2 -- Improvement Opportunity) A pre-program assessment may be conducted to establish a baseline, which will be...</t>
        </is>
      </c>
      <c r="F34" s="27" t="inlineStr">
        <is>
          <t>1. Request the most recent audit/assessment report.
2. Verify it was conducted by an approved/qualified party.
3. Confirm submission to CE NACSA within required timeframe.
4. Check that findings are tracked with remediation plans.</t>
        </is>
      </c>
      <c r="G34" s="27" t="inlineStr">
        <is>
          <t>Audit/assessment report; Assessor qualifications/approval; CE submission confirmation; Remediation tracker</t>
        </is>
      </c>
      <c r="H34" s="27" t="inlineStr">
        <is>
          <t>Inspection</t>
        </is>
      </c>
      <c r="I34" s="27" t="inlineStr"/>
      <c r="J34" s="27" t="inlineStr"/>
      <c r="K34" s="27" t="inlineStr"/>
      <c r="L34" s="27" t="inlineStr"/>
      <c r="M34" s="27" t="inlineStr"/>
      <c r="N34" s="27" t="inlineStr"/>
    </row>
  </sheetData>
  <mergeCells count="2">
    <mergeCell ref="A3:N3"/>
    <mergeCell ref="A2:N2"/>
  </mergeCells>
  <conditionalFormatting sqref="M4:M35">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34"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7.0 — Cyber Security Assurance (Organisation-Level)</t>
        </is>
      </c>
      <c r="B2" s="38" t="n"/>
      <c r="C2" s="38" t="n"/>
      <c r="D2" s="38" t="n"/>
      <c r="E2" s="38" t="n"/>
      <c r="F2" s="38" t="n"/>
      <c r="G2" s="38" t="n"/>
      <c r="H2" s="38" t="n"/>
      <c r="I2" s="38" t="n"/>
      <c r="J2" s="38" t="n"/>
      <c r="K2" s="38" t="n"/>
      <c r="L2" s="38" t="n"/>
      <c r="M2" s="38" t="n"/>
      <c r="N2" s="39" t="n"/>
    </row>
    <row r="3" ht="60" customHeight="1">
      <c r="A3" s="23" t="inlineStr">
        <is>
          <t>WHY: Assurance activities (acceptable use, audit, supplier security) verify that controls work and third parties don't introduce risk. Biennial audit is mandatory under s23; supplier risk management protects the supply chain.
WHAT GOOD LOOKS LIKE: Enforced IT AUP with signed acknowledgements, biennial audit completed and submitted to CE within 30 days, comprehensive supplier register with CSSP licensing verification, remediation of prior findings.
KEY RISK IF ABSENT: Uncontrolled user behaviour, missed audit deadlines (s23 penalty), supply chain compromise.</t>
        </is>
      </c>
      <c r="B3" s="38" t="n"/>
      <c r="C3" s="38" t="n"/>
      <c r="D3" s="38" t="n"/>
      <c r="E3" s="38" t="n"/>
      <c r="F3" s="38" t="n"/>
      <c r="G3" s="38" t="n"/>
      <c r="H3" s="38" t="n"/>
      <c r="I3" s="38" t="n"/>
      <c r="J3" s="38" t="n"/>
      <c r="K3" s="38" t="n"/>
      <c r="L3" s="38" t="n"/>
      <c r="M3" s="38" t="n"/>
      <c r="N3" s="39" t="n"/>
    </row>
    <row r="4">
      <c r="A4" s="25" t="inlineStr">
        <is>
          <t>7.1.1</t>
        </is>
      </c>
      <c r="B4" s="25" t="inlineStr">
        <is>
          <t>NACSA-7.1.1</t>
        </is>
      </c>
      <c r="C4" s="25" t="inlineStr">
        <is>
          <t>ORG</t>
        </is>
      </c>
      <c r="D4" s="25" t="inlineStr">
        <is>
          <t>Establishment of IT Acceptable Use Policy</t>
        </is>
      </c>
      <c r="E4" s="25" t="inlineStr">
        <is>
          <t>Assess 2 mandatory requirement(s)</t>
        </is>
      </c>
      <c r="F4" s="25" t="inlineStr"/>
      <c r="G4" s="25" t="inlineStr"/>
      <c r="H4" s="25" t="inlineStr"/>
      <c r="I4" s="25" t="inlineStr"/>
      <c r="J4" s="25" t="inlineStr"/>
      <c r="K4" s="25" t="inlineStr"/>
      <c r="L4" s="25" t="inlineStr"/>
      <c r="M4" s="26" t="inlineStr"/>
      <c r="N4" s="26" t="inlineStr"/>
    </row>
    <row r="5">
      <c r="A5" s="7" t="inlineStr">
        <is>
          <t>7.1.1.1</t>
        </is>
      </c>
      <c r="B5" s="7" t="inlineStr">
        <is>
          <t>NACSA-7.1.1a</t>
        </is>
      </c>
      <c r="C5" s="7" t="inlineStr"/>
      <c r="D5" s="7" t="inlineStr"/>
      <c r="E5" s="7" t="inlineStr">
        <is>
          <t>The NCII entity shall develop and establish a comprehensive IT Acceptable Use Policy (AUP) that outlines the following:
...</t>
        </is>
      </c>
      <c r="F5" s="7" t="inlineStr">
        <is>
          <t>1. Request the current policy document with approval records.
2. Verify it is formally approved by the governance committee or top management (check signatures, dates).
3. Confirm it addresses all elements specified in this clause.
4. Verify version control is maintained with change history.</t>
        </is>
      </c>
      <c r="G5" s="7" t="inlineStr">
        <is>
          <t>Approved policy/procedure document; Committee approval record; Version history</t>
        </is>
      </c>
      <c r="H5" s="7" t="inlineStr">
        <is>
          <t>Inspection</t>
        </is>
      </c>
      <c r="I5" s="7" t="inlineStr"/>
      <c r="J5" s="7" t="inlineStr"/>
      <c r="K5" s="7" t="inlineStr"/>
      <c r="L5" s="7" t="inlineStr"/>
      <c r="M5" s="7" t="inlineStr"/>
      <c r="N5" s="7" t="inlineStr"/>
    </row>
    <row r="6">
      <c r="A6" s="28" t="inlineStr">
        <is>
          <t>7.1.1.2</t>
        </is>
      </c>
      <c r="B6" s="28" t="inlineStr">
        <is>
          <t>NACSA-7.1.1b</t>
        </is>
      </c>
      <c r="C6" s="28" t="inlineStr"/>
      <c r="D6" s="28" t="inlineStr"/>
      <c r="E6" s="28" t="inlineStr">
        <is>
          <t>The IT AUP shall align with the sector's industry best practices, standards and regulatory requirements.</t>
        </is>
      </c>
      <c r="F6" s="28" t="inlineStr">
        <is>
          <t>1. Request NDA templates and signed NDA samples.
2. Verify NDA templates cover required parties.
3. Sample 10 NDAs — confirm signed before information exchange.
4. Check NDA compliance monitoring records.</t>
        </is>
      </c>
      <c r="G6" s="28" t="inlineStr">
        <is>
          <t>NDA templates; Signed NDA samples; Compliance monitoring records</t>
        </is>
      </c>
      <c r="H6" s="28" t="inlineStr">
        <is>
          <t>Inspection</t>
        </is>
      </c>
      <c r="I6" s="28" t="inlineStr"/>
      <c r="J6" s="28" t="inlineStr"/>
      <c r="K6" s="28" t="inlineStr"/>
      <c r="L6" s="28" t="inlineStr"/>
      <c r="M6" s="28" t="inlineStr"/>
      <c r="N6" s="28" t="inlineStr"/>
    </row>
    <row r="7">
      <c r="A7" s="25" t="inlineStr">
        <is>
          <t>7.1.2</t>
        </is>
      </c>
      <c r="B7" s="25" t="inlineStr">
        <is>
          <t>NACSA-7.1.2</t>
        </is>
      </c>
      <c r="C7" s="25" t="inlineStr">
        <is>
          <t>ORG</t>
        </is>
      </c>
      <c r="D7" s="25" t="inlineStr">
        <is>
          <t>Application of IT Acceptable Use Policy</t>
        </is>
      </c>
      <c r="E7" s="25" t="inlineStr">
        <is>
          <t>Assess 2 mandatory requirement(s)</t>
        </is>
      </c>
      <c r="F7" s="25" t="inlineStr"/>
      <c r="G7" s="25" t="inlineStr"/>
      <c r="H7" s="25" t="inlineStr"/>
      <c r="I7" s="25" t="inlineStr"/>
      <c r="J7" s="25" t="inlineStr"/>
      <c r="K7" s="25" t="inlineStr"/>
      <c r="L7" s="25" t="inlineStr"/>
      <c r="M7" s="26" t="inlineStr"/>
      <c r="N7" s="26" t="inlineStr"/>
    </row>
    <row r="8">
      <c r="A8" s="7" t="inlineStr">
        <is>
          <t>7.1.2.1</t>
        </is>
      </c>
      <c r="B8" s="7" t="inlineStr">
        <is>
          <t>NACSA-7.1.2a</t>
        </is>
      </c>
      <c r="C8" s="7" t="inlineStr"/>
      <c r="D8" s="7" t="inlineStr"/>
      <c r="E8" s="7" t="inlineStr">
        <is>
          <t>The IT AUP shall be enforced across the NCII entity through the following recommended means:
- Letter of Undertaking
- T...</t>
        </is>
      </c>
      <c r="F8" s="7" t="inlineStr">
        <is>
          <t>1. Request secure configuration baselines.
2. Verify alignment with CIS benchmarks or equivalent.
3. Check configuration compliance monitoring (drift detection).
4. Review remediation of configuration deviations.</t>
        </is>
      </c>
      <c r="G8" s="7" t="inlineStr">
        <is>
          <t>Configuration baselines; CIS benchmark mapping; Compliance scan results; Deviation remediation records</t>
        </is>
      </c>
      <c r="H8" s="7" t="inlineStr">
        <is>
          <t>Inspection</t>
        </is>
      </c>
      <c r="I8" s="7" t="inlineStr"/>
      <c r="J8" s="7" t="inlineStr"/>
      <c r="K8" s="7" t="inlineStr"/>
      <c r="L8" s="7" t="inlineStr"/>
      <c r="M8" s="7" t="inlineStr"/>
      <c r="N8" s="7" t="inlineStr"/>
    </row>
    <row r="9">
      <c r="A9" s="28" t="inlineStr">
        <is>
          <t>7.1.2.2</t>
        </is>
      </c>
      <c r="B9" s="28" t="inlineStr">
        <is>
          <t>NACSA-7.1.2b</t>
        </is>
      </c>
      <c r="C9" s="28" t="inlineStr"/>
      <c r="D9" s="28" t="inlineStr"/>
      <c r="E9" s="28" t="inlineStr">
        <is>
          <t>The IT support team shall train employees on IT AUP compliance through platforms such as onboarding training and informa...</t>
        </is>
      </c>
      <c r="F9" s="28" t="inlineStr">
        <is>
          <t>1. Request training plan and records for the assessment period.
2. Verify training content covers required topics per CoP clause.
3. Check completion rates (target: 100% for mandatory training).
4. Review effectiveness evaluation results (post-training assessments).</t>
        </is>
      </c>
      <c r="G9" s="28" t="inlineStr">
        <is>
          <t>Training plan; Completion records/LMS reports; Assessment results; Training materials</t>
        </is>
      </c>
      <c r="H9" s="28" t="inlineStr">
        <is>
          <t>Inspection / Inquiry</t>
        </is>
      </c>
      <c r="I9" s="28" t="inlineStr"/>
      <c r="J9" s="28" t="inlineStr"/>
      <c r="K9" s="28" t="inlineStr"/>
      <c r="L9" s="28" t="inlineStr"/>
      <c r="M9" s="28" t="inlineStr"/>
      <c r="N9" s="28" t="inlineStr"/>
    </row>
    <row r="10">
      <c r="A10" s="25" t="inlineStr">
        <is>
          <t>7.1.3</t>
        </is>
      </c>
      <c r="B10" s="25" t="inlineStr">
        <is>
          <t>NACSA-7.1.3</t>
        </is>
      </c>
      <c r="C10" s="25" t="inlineStr">
        <is>
          <t>ORG</t>
        </is>
      </c>
      <c r="D10" s="25" t="inlineStr">
        <is>
          <t>Review of IT Acceptable Use Policy</t>
        </is>
      </c>
      <c r="E10" s="25" t="inlineStr">
        <is>
          <t>Assess 1 mandatory requirement(s)</t>
        </is>
      </c>
      <c r="F10" s="25" t="inlineStr"/>
      <c r="G10" s="25" t="inlineStr"/>
      <c r="H10" s="25" t="inlineStr"/>
      <c r="I10" s="25" t="inlineStr"/>
      <c r="J10" s="25" t="inlineStr"/>
      <c r="K10" s="25" t="inlineStr"/>
      <c r="L10" s="25" t="inlineStr"/>
      <c r="M10" s="26" t="inlineStr"/>
      <c r="N10" s="26" t="inlineStr"/>
    </row>
    <row r="11">
      <c r="A11" s="7" t="inlineStr">
        <is>
          <t>7.1.3.1</t>
        </is>
      </c>
      <c r="B11" s="7" t="inlineStr">
        <is>
          <t>NACSA-7.1.3a</t>
        </is>
      </c>
      <c r="C11" s="7" t="inlineStr"/>
      <c r="D11" s="7" t="inlineStr"/>
      <c r="E11" s="7" t="inlineStr">
        <is>
          <t>The IT AUP shall be reviewed and updated when necessary, such as in the following circumstances:
- Emergence of new cybe...</t>
        </is>
      </c>
      <c r="F11" s="7" t="inlineStr">
        <is>
          <t>1. Request the monitoring procedure/SMP.
2. Verify monitoring tools deployed (SIEM, IDPS, EDR).
3. Check log source coverage includes all NCII systems.
4. Review MTTD/MTTR KPI performance for the assessment period.</t>
        </is>
      </c>
      <c r="G11" s="7" t="inlineStr">
        <is>
          <t>Monitoring procedure; Tool deployment evidence; Log source inventory; KPI dashboard/reports</t>
        </is>
      </c>
      <c r="H11" s="7" t="inlineStr">
        <is>
          <t>Inspection</t>
        </is>
      </c>
      <c r="I11" s="7" t="inlineStr"/>
      <c r="J11" s="7" t="inlineStr"/>
      <c r="K11" s="7" t="inlineStr"/>
      <c r="L11" s="7" t="inlineStr"/>
      <c r="M11" s="7" t="inlineStr"/>
      <c r="N11" s="7" t="inlineStr"/>
    </row>
    <row r="12">
      <c r="A12" s="25" t="inlineStr">
        <is>
          <t>7.2.1</t>
        </is>
      </c>
      <c r="B12" s="25" t="inlineStr">
        <is>
          <t>NACSA-7.2.1</t>
        </is>
      </c>
      <c r="C12" s="25" t="inlineStr">
        <is>
          <t>ORG</t>
        </is>
      </c>
      <c r="D12" s="25" t="inlineStr">
        <is>
          <t>Establishment of Audit Plan</t>
        </is>
      </c>
      <c r="E12" s="25" t="inlineStr">
        <is>
          <t>Assess 3 mandatory requirement(s)</t>
        </is>
      </c>
      <c r="F12" s="25" t="inlineStr"/>
      <c r="G12" s="25" t="inlineStr"/>
      <c r="H12" s="25" t="inlineStr"/>
      <c r="I12" s="25" t="inlineStr"/>
      <c r="J12" s="25" t="inlineStr"/>
      <c r="K12" s="25" t="inlineStr"/>
      <c r="L12" s="25" t="inlineStr"/>
      <c r="M12" s="26" t="inlineStr"/>
      <c r="N12" s="26" t="inlineStr"/>
    </row>
    <row r="13">
      <c r="A13" s="28" t="inlineStr">
        <is>
          <t>7.2.1.1</t>
        </is>
      </c>
      <c r="B13" s="28" t="inlineStr">
        <is>
          <t>NACSA-7.2.1a</t>
        </is>
      </c>
      <c r="C13" s="28" t="inlineStr"/>
      <c r="D13" s="28" t="inlineStr"/>
      <c r="E13" s="28" t="inlineStr">
        <is>
          <t>The NCII entity shall establish an audit plan on cyber security that defines the following:
- Audit scope
- Audit object...</t>
        </is>
      </c>
      <c r="F13" s="28" t="inlineStr">
        <is>
          <t>1. Request the current plan document with approval records.
2. Verify it is formally approved by the governance committee or top management (check signatures, dates).
3. Confirm it addresses all elements specified in this clause.
4. Verify version control is maintained with change history.</t>
        </is>
      </c>
      <c r="G13" s="28" t="inlineStr">
        <is>
          <t>Approved policy/procedure document; Committee approval record; Version history</t>
        </is>
      </c>
      <c r="H13" s="28" t="inlineStr">
        <is>
          <t>Inspection</t>
        </is>
      </c>
      <c r="I13" s="28" t="inlineStr"/>
      <c r="J13" s="28" t="inlineStr"/>
      <c r="K13" s="28" t="inlineStr"/>
      <c r="L13" s="28" t="inlineStr"/>
      <c r="M13" s="28" t="inlineStr"/>
      <c r="N13" s="28" t="inlineStr"/>
    </row>
    <row r="14">
      <c r="A14" s="7" t="inlineStr">
        <is>
          <t>7.2.1.2</t>
        </is>
      </c>
      <c r="B14" s="7" t="inlineStr">
        <is>
          <t>NACSA-7.2.1b</t>
        </is>
      </c>
      <c r="C14" s="7" t="inlineStr"/>
      <c r="D14" s="7" t="inlineStr"/>
      <c r="E14" s="7" t="inlineStr">
        <is>
          <t>The audit plan on cyber security shall be aligned with legal, regulatory, and organisational requirements.</t>
        </is>
      </c>
      <c r="F14" s="7" t="inlineStr">
        <is>
          <t>1. Request the most recent audit/assessment report.
2. Verify it was conducted by an approved/qualified party.
3. Confirm submission to CE NACSA within required timeframe.
4. Check that findings are tracked with remediation plans.</t>
        </is>
      </c>
      <c r="G14" s="7" t="inlineStr">
        <is>
          <t>Audit/assessment report; Assessor qualifications/approval; CE submission confirmation; Remediation tracker</t>
        </is>
      </c>
      <c r="H14" s="7" t="inlineStr">
        <is>
          <t>Inspection</t>
        </is>
      </c>
      <c r="I14" s="7" t="inlineStr"/>
      <c r="J14" s="7" t="inlineStr"/>
      <c r="K14" s="7" t="inlineStr"/>
      <c r="L14" s="7" t="inlineStr"/>
      <c r="M14" s="7" t="inlineStr"/>
      <c r="N14" s="7" t="inlineStr"/>
    </row>
    <row r="15">
      <c r="A15" s="28" t="inlineStr">
        <is>
          <t>7.2.1.3</t>
        </is>
      </c>
      <c r="B15" s="28" t="inlineStr">
        <is>
          <t>NACSA-7.2.1c</t>
        </is>
      </c>
      <c r="C15" s="28" t="inlineStr"/>
      <c r="D15" s="28" t="inlineStr"/>
      <c r="E15" s="28" t="inlineStr">
        <is>
          <t>The audit plan on cyber security shall include the frequency of audit, audit criteria, and roles and responsibilities of...</t>
        </is>
      </c>
      <c r="F15" s="28" t="inlineStr">
        <is>
          <t>1. Request the most recent audit/assessment report.
2. Verify it was conducted by an approved/qualified party.
3. Confirm submission to CE NACSA within required timeframe.
4. Check that findings are tracked with remediation plans.</t>
        </is>
      </c>
      <c r="G15" s="28" t="inlineStr">
        <is>
          <t>Audit/assessment report; Assessor qualifications/approval; CE submission confirmation; Remediation tracker</t>
        </is>
      </c>
      <c r="H15" s="28" t="inlineStr">
        <is>
          <t>Inspection</t>
        </is>
      </c>
      <c r="I15" s="28" t="inlineStr"/>
      <c r="J15" s="28" t="inlineStr"/>
      <c r="K15" s="28" t="inlineStr"/>
      <c r="L15" s="28" t="inlineStr"/>
      <c r="M15" s="28" t="inlineStr"/>
      <c r="N15" s="28" t="inlineStr"/>
    </row>
    <row r="16">
      <c r="A16" s="25" t="inlineStr">
        <is>
          <t>7.2.2</t>
        </is>
      </c>
      <c r="B16" s="25" t="inlineStr">
        <is>
          <t>NACSA-7.2.2</t>
        </is>
      </c>
      <c r="C16" s="25" t="inlineStr">
        <is>
          <t>ORG</t>
        </is>
      </c>
      <c r="D16" s="25" t="inlineStr">
        <is>
          <t>Approval of Audit Plan</t>
        </is>
      </c>
      <c r="E16" s="25" t="inlineStr">
        <is>
          <t>Assess 2 mandatory requirement(s)</t>
        </is>
      </c>
      <c r="F16" s="25" t="inlineStr"/>
      <c r="G16" s="25" t="inlineStr"/>
      <c r="H16" s="25" t="inlineStr"/>
      <c r="I16" s="25" t="inlineStr"/>
      <c r="J16" s="25" t="inlineStr"/>
      <c r="K16" s="25" t="inlineStr"/>
      <c r="L16" s="25" t="inlineStr"/>
      <c r="M16" s="26" t="inlineStr"/>
      <c r="N16" s="26" t="inlineStr"/>
    </row>
    <row r="17">
      <c r="A17" s="7" t="inlineStr">
        <is>
          <t>7.2.2.1</t>
        </is>
      </c>
      <c r="B17" s="7" t="inlineStr">
        <is>
          <t>NACSA-7.2.2a</t>
        </is>
      </c>
      <c r="C17" s="7" t="inlineStr"/>
      <c r="D17" s="7" t="inlineStr"/>
      <c r="E17" s="7" t="inlineStr">
        <is>
          <t>The audit plan on cyber security shall be reviewed and approved by relevant cyber security governance committee establis...</t>
        </is>
      </c>
      <c r="F17" s="7" t="inlineStr">
        <is>
          <t>1. Request evidence of the last review — meeting minutes, review report, or updated document with review date.
2. Verify review was conducted within the required period (annually or as specified).
3. Check that review outcomes are documented with any changes approved.
4. Confirm the review addressed current threats, regulatory changes, and lessons learned.</t>
        </is>
      </c>
      <c r="G17" s="7" t="inlineStr">
        <is>
          <t>Approved policy/procedure document; Committee approval record; Version history</t>
        </is>
      </c>
      <c r="H17" s="7" t="inlineStr">
        <is>
          <t>Inspection</t>
        </is>
      </c>
      <c r="I17" s="7" t="inlineStr"/>
      <c r="J17" s="7" t="inlineStr"/>
      <c r="K17" s="7" t="inlineStr"/>
      <c r="L17" s="7" t="inlineStr"/>
      <c r="M17" s="7" t="inlineStr"/>
      <c r="N17" s="7" t="inlineStr"/>
    </row>
    <row r="18">
      <c r="A18" s="28" t="inlineStr">
        <is>
          <t>7.2.2.2</t>
        </is>
      </c>
      <c r="B18" s="28" t="inlineStr">
        <is>
          <t>NACSA-7.2.2b</t>
        </is>
      </c>
      <c r="C18" s="28" t="inlineStr"/>
      <c r="D18" s="28" t="inlineStr"/>
      <c r="E18" s="28" t="inlineStr">
        <is>
          <t>Any amendments to the audit plan on cyber security must be documented and re-approved before the implementation.</t>
        </is>
      </c>
      <c r="F18" s="28" t="inlineStr">
        <is>
          <t>1. Request the most recent audit/assessment report.
2. Verify it was conducted by an approved/qualified party.
3. Confirm submission to CE NACSA within required timeframe.
4. Check that findings are tracked with remediation plans.</t>
        </is>
      </c>
      <c r="G18" s="28" t="inlineStr">
        <is>
          <t>Audit/assessment report; Assessor qualifications/approval; CE submission confirmation; Remediation tracker</t>
        </is>
      </c>
      <c r="H18" s="28" t="inlineStr">
        <is>
          <t>Inspection</t>
        </is>
      </c>
      <c r="I18" s="28" t="inlineStr"/>
      <c r="J18" s="28" t="inlineStr"/>
      <c r="K18" s="28" t="inlineStr"/>
      <c r="L18" s="28" t="inlineStr"/>
      <c r="M18" s="28" t="inlineStr"/>
      <c r="N18" s="28" t="inlineStr"/>
    </row>
    <row r="19">
      <c r="A19" s="25" t="inlineStr">
        <is>
          <t>7.2.3</t>
        </is>
      </c>
      <c r="B19" s="25" t="inlineStr">
        <is>
          <t>NACSA-7.2.3</t>
        </is>
      </c>
      <c r="C19" s="25" t="inlineStr">
        <is>
          <t>ORG</t>
        </is>
      </c>
      <c r="D19" s="25" t="inlineStr">
        <is>
          <t>Conducting the Audit on Cyber Security</t>
        </is>
      </c>
      <c r="E19" s="25" t="inlineStr">
        <is>
          <t>Assess 4 mandatory requirement(s)</t>
        </is>
      </c>
      <c r="F19" s="25" t="inlineStr"/>
      <c r="G19" s="25" t="inlineStr"/>
      <c r="H19" s="25" t="inlineStr"/>
      <c r="I19" s="25" t="inlineStr"/>
      <c r="J19" s="25" t="inlineStr"/>
      <c r="K19" s="25" t="inlineStr"/>
      <c r="L19" s="25" t="inlineStr"/>
      <c r="M19" s="26" t="inlineStr"/>
      <c r="N19" s="26" t="inlineStr"/>
    </row>
    <row r="20">
      <c r="A20" s="7" t="inlineStr">
        <is>
          <t>7.2.3.1</t>
        </is>
      </c>
      <c r="B20" s="7" t="inlineStr">
        <is>
          <t>NACSA-7.2.3a</t>
        </is>
      </c>
      <c r="C20" s="7" t="inlineStr"/>
      <c r="D20" s="7" t="inlineStr"/>
      <c r="E20" s="7" t="inlineStr">
        <is>
          <t>Audit on cyber security shall be conducted at least once in every two years commencing from the date of designation as N...</t>
        </is>
      </c>
      <c r="F20" s="7" t="inlineStr">
        <is>
          <t>1. Request the most recent audit/assessment report.
2. Verify it was conducted by an approved/qualified party.
3. Confirm submission to CE NACSA within required timeframe.
4. Check that findings are tracked with remediation plans.</t>
        </is>
      </c>
      <c r="G20" s="7" t="inlineStr">
        <is>
          <t>Audit/assessment report; Assessor qualifications/approval; CE submission confirmation; Remediation tracker</t>
        </is>
      </c>
      <c r="H20" s="7" t="inlineStr">
        <is>
          <t>Inspection</t>
        </is>
      </c>
      <c r="I20" s="7" t="inlineStr"/>
      <c r="J20" s="7" t="inlineStr"/>
      <c r="K20" s="7" t="inlineStr"/>
      <c r="L20" s="7" t="inlineStr"/>
      <c r="M20" s="7" t="inlineStr"/>
      <c r="N20" s="7" t="inlineStr"/>
    </row>
    <row r="21">
      <c r="A21" s="28" t="inlineStr">
        <is>
          <t>7.2.3.2</t>
        </is>
      </c>
      <c r="B21" s="28" t="inlineStr">
        <is>
          <t>NACSA-7.2.3b</t>
        </is>
      </c>
      <c r="C21" s="28" t="inlineStr"/>
      <c r="D21" s="28" t="inlineStr"/>
      <c r="E21" s="28" t="inlineStr">
        <is>
          <t>The auditor shall be approved by Chief Executive of NACSA to assess the compliance with Act 854 and its regulations, dir...</t>
        </is>
      </c>
      <c r="F21" s="28" t="inlineStr">
        <is>
          <t>1. Request the most recent audit/assessment report.
2. Verify it was conducted by an approved/qualified party.
3. Confirm submission to CE NACSA within required timeframe.
4. Check that findings are tracked with remediation plans.</t>
        </is>
      </c>
      <c r="G21" s="28" t="inlineStr">
        <is>
          <t>Audit/assessment report; Assessor qualifications/approval; CE submission confirmation; Remediation tracker</t>
        </is>
      </c>
      <c r="H21" s="28" t="inlineStr">
        <is>
          <t>Inspection</t>
        </is>
      </c>
      <c r="I21" s="28" t="inlineStr"/>
      <c r="J21" s="28" t="inlineStr"/>
      <c r="K21" s="28" t="inlineStr"/>
      <c r="L21" s="28" t="inlineStr"/>
      <c r="M21" s="28" t="inlineStr"/>
      <c r="N21" s="28" t="inlineStr"/>
    </row>
    <row r="22">
      <c r="A22" s="7" t="inlineStr">
        <is>
          <t>7.2.3.3</t>
        </is>
      </c>
      <c r="B22" s="7" t="inlineStr">
        <is>
          <t>NACSA-7.2.3c</t>
        </is>
      </c>
      <c r="C22" s="7" t="inlineStr"/>
      <c r="D22" s="7" t="inlineStr"/>
      <c r="E22" s="7" t="inlineStr">
        <is>
          <t>The audit process shall include document reviews, interviews, system testing, and technical assessments of cyber securit...</t>
        </is>
      </c>
      <c r="F22" s="7" t="inlineStr">
        <is>
          <t>1. Request the most recent audit/assessment report.
2. Verify it was conducted by an approved/qualified party.
3. Confirm submission to CE NACSA within required timeframe.
4. Check that findings are tracked with remediation plans.</t>
        </is>
      </c>
      <c r="G22" s="7" t="inlineStr">
        <is>
          <t>Audit/assessment report; Assessor qualifications/approval; CE submission confirmation; Remediation tracker</t>
        </is>
      </c>
      <c r="H22" s="7" t="inlineStr">
        <is>
          <t>Inspection</t>
        </is>
      </c>
      <c r="I22" s="7" t="inlineStr"/>
      <c r="J22" s="7" t="inlineStr"/>
      <c r="K22" s="7" t="inlineStr"/>
      <c r="L22" s="7" t="inlineStr"/>
      <c r="M22" s="7" t="inlineStr"/>
      <c r="N22" s="7" t="inlineStr"/>
    </row>
    <row r="23">
      <c r="A23" s="28" t="inlineStr">
        <is>
          <t>7.2.3.5</t>
        </is>
      </c>
      <c r="B23" s="28" t="inlineStr">
        <is>
          <t>NACSA-7.2.3d</t>
        </is>
      </c>
      <c r="C23" s="28" t="inlineStr"/>
      <c r="D23" s="28" t="inlineStr"/>
      <c r="E23" s="28" t="inlineStr">
        <is>
          <t>When an NCII entity receives a written notice from the Chief Executive directing the NCII entity to conduct an audit in ...</t>
        </is>
      </c>
      <c r="F23" s="28" t="inlineStr">
        <is>
          <t>1. Request the most recent audit/assessment report.
2. Verify it was conducted by an approved/qualified party.
3. Confirm submission to CE NACSA within required timeframe.
4. Check that findings are tracked with remediation plans.</t>
        </is>
      </c>
      <c r="G23" s="28" t="inlineStr">
        <is>
          <t>Audit/assessment report; Assessor qualifications/approval; CE submission confirmation; Remediation tracker</t>
        </is>
      </c>
      <c r="H23" s="28" t="inlineStr">
        <is>
          <t>Inspection</t>
        </is>
      </c>
      <c r="I23" s="28" t="inlineStr"/>
      <c r="J23" s="28" t="inlineStr"/>
      <c r="K23" s="28" t="inlineStr"/>
      <c r="L23" s="28" t="inlineStr"/>
      <c r="M23" s="28" t="inlineStr"/>
      <c r="N23" s="28" t="inlineStr"/>
    </row>
    <row r="24">
      <c r="A24" s="25" t="inlineStr">
        <is>
          <t>7.2.4</t>
        </is>
      </c>
      <c r="B24" s="25" t="inlineStr">
        <is>
          <t>NACSA-7.2.4</t>
        </is>
      </c>
      <c r="C24" s="25" t="inlineStr">
        <is>
          <t>ORG</t>
        </is>
      </c>
      <c r="D24" s="25" t="inlineStr">
        <is>
          <t>Reporting Findings</t>
        </is>
      </c>
      <c r="E24" s="25" t="inlineStr">
        <is>
          <t>Assess 3 mandatory requirement(s)</t>
        </is>
      </c>
      <c r="F24" s="25" t="inlineStr"/>
      <c r="G24" s="25" t="inlineStr"/>
      <c r="H24" s="25" t="inlineStr"/>
      <c r="I24" s="25" t="inlineStr"/>
      <c r="J24" s="25" t="inlineStr"/>
      <c r="K24" s="25" t="inlineStr"/>
      <c r="L24" s="25" t="inlineStr"/>
      <c r="M24" s="26" t="inlineStr"/>
      <c r="N24" s="26" t="inlineStr"/>
    </row>
    <row r="25">
      <c r="A25" s="7" t="inlineStr">
        <is>
          <t>7.2.4.1</t>
        </is>
      </c>
      <c r="B25" s="7" t="inlineStr">
        <is>
          <t>NACSA-7.2.4a</t>
        </is>
      </c>
      <c r="C25" s="7" t="inlineStr"/>
      <c r="D25" s="7" t="inlineStr"/>
      <c r="E25" s="7" t="inlineStr">
        <is>
          <t>Audit findings shall be documented in a structured report, highlighting compliance status, gaps, and areas for improveme...</t>
        </is>
      </c>
      <c r="F25" s="7" t="inlineStr">
        <is>
          <t>1. Request the most recent audit/assessment report.
2. Verify it was conducted by an approved/qualified party.
3. Confirm submission to CE NACSA within required timeframe.
4. Check that findings are tracked with remediation plans.</t>
        </is>
      </c>
      <c r="G25" s="7" t="inlineStr">
        <is>
          <t>Audit/assessment report; Assessor qualifications/approval; CE submission confirmation; Remediation tracker</t>
        </is>
      </c>
      <c r="H25" s="7" t="inlineStr">
        <is>
          <t>Inspection</t>
        </is>
      </c>
      <c r="I25" s="7" t="inlineStr"/>
      <c r="J25" s="7" t="inlineStr"/>
      <c r="K25" s="7" t="inlineStr"/>
      <c r="L25" s="7" t="inlineStr"/>
      <c r="M25" s="7" t="inlineStr"/>
      <c r="N25" s="7" t="inlineStr"/>
    </row>
    <row r="26">
      <c r="A26" s="28" t="inlineStr">
        <is>
          <t>7.2.4.2</t>
        </is>
      </c>
      <c r="B26" s="28" t="inlineStr">
        <is>
          <t>NACSA-7.2.4b</t>
        </is>
      </c>
      <c r="C26" s="28" t="inlineStr"/>
      <c r="D26" s="28" t="inlineStr"/>
      <c r="E26" s="28" t="inlineStr">
        <is>
          <t>The audit report shall be presented and reported to the relevant cyber security governance committee established for thi...</t>
        </is>
      </c>
      <c r="F26" s="28" t="inlineStr">
        <is>
          <t>1. Request the report/submission with date stamps.
2. Verify submission was made within the required timeline.
3. Check the report contains all mandatory elements specified in the clause.
4. Confirm submission to both CE NACSA and the sector lead (if required).</t>
        </is>
      </c>
      <c r="G26" s="28" t="inlineStr">
        <is>
          <t>Approved policy/procedure document; Committee approval record; Version history</t>
        </is>
      </c>
      <c r="H26" s="28" t="inlineStr">
        <is>
          <t>Inspection</t>
        </is>
      </c>
      <c r="I26" s="28" t="inlineStr"/>
      <c r="J26" s="28" t="inlineStr"/>
      <c r="K26" s="28" t="inlineStr"/>
      <c r="L26" s="28" t="inlineStr"/>
      <c r="M26" s="28" t="inlineStr"/>
      <c r="N26" s="28" t="inlineStr"/>
    </row>
    <row r="27">
      <c r="A27" s="7" t="inlineStr">
        <is>
          <t>7.2.4.3</t>
        </is>
      </c>
      <c r="B27" s="7" t="inlineStr">
        <is>
          <t>NACSA-7.2.4c</t>
        </is>
      </c>
      <c r="C27" s="7" t="inlineStr"/>
      <c r="D27" s="7" t="inlineStr"/>
      <c r="E27" s="7" t="inlineStr">
        <is>
          <t>The audit report shall be submitted to the Chief Executive of NACSA within thirty (30) days after the completion of the ...</t>
        </is>
      </c>
      <c r="F27" s="7" t="inlineStr">
        <is>
          <t>1. Request the most recent audit/assessment report.
2. Verify it was conducted by an approved/qualified party.
3. Confirm submission to CE NACSA within required timeframe.
4. Check that findings are tracked with remediation plans.</t>
        </is>
      </c>
      <c r="G27" s="7" t="inlineStr">
        <is>
          <t>Audit/assessment report; Assessor qualifications/approval; CE submission confirmation; Remediation tracker</t>
        </is>
      </c>
      <c r="H27" s="7" t="inlineStr">
        <is>
          <t>Inspection</t>
        </is>
      </c>
      <c r="I27" s="7" t="inlineStr"/>
      <c r="J27" s="7" t="inlineStr"/>
      <c r="K27" s="7" t="inlineStr"/>
      <c r="L27" s="7" t="inlineStr"/>
      <c r="M27" s="7" t="inlineStr"/>
      <c r="N27" s="7" t="inlineStr"/>
    </row>
    <row r="28">
      <c r="A28" s="25" t="inlineStr">
        <is>
          <t>7.2.5</t>
        </is>
      </c>
      <c r="B28" s="25" t="inlineStr">
        <is>
          <t>NACSA-7.2.5</t>
        </is>
      </c>
      <c r="C28" s="25" t="inlineStr">
        <is>
          <t>ORG</t>
        </is>
      </c>
      <c r="D28" s="25" t="inlineStr">
        <is>
          <t>Resolution of Non-Compliance</t>
        </is>
      </c>
      <c r="E28" s="25" t="inlineStr">
        <is>
          <t>Assess 2 mandatory requirement(s) + 2 improvement opportunity(ies)</t>
        </is>
      </c>
      <c r="F28" s="25" t="inlineStr"/>
      <c r="G28" s="25" t="inlineStr"/>
      <c r="H28" s="25" t="inlineStr"/>
      <c r="I28" s="25" t="inlineStr"/>
      <c r="J28" s="25" t="inlineStr"/>
      <c r="K28" s="25" t="inlineStr"/>
      <c r="L28" s="25" t="inlineStr"/>
      <c r="M28" s="26" t="inlineStr"/>
      <c r="N28" s="26" t="inlineStr"/>
    </row>
    <row r="29">
      <c r="A29" s="28" t="inlineStr">
        <is>
          <t>7.2.5.1</t>
        </is>
      </c>
      <c r="B29" s="28" t="inlineStr">
        <is>
          <t>NACSA-7.2.5a</t>
        </is>
      </c>
      <c r="C29" s="28" t="inlineStr"/>
      <c r="D29" s="28" t="inlineStr"/>
      <c r="E29" s="28" t="inlineStr">
        <is>
          <t>Any non-compliance identified during the audit shall be addressed with corrective and preventive actions.</t>
        </is>
      </c>
      <c r="F29" s="28" t="inlineStr">
        <is>
          <t>1. Request the most recent audit/assessment report.
2. Verify it was conducted by an approved/qualified party.
3. Confirm submission to CE NACSA within required timeframe.
4. Check that findings are tracked with remediation plans.</t>
        </is>
      </c>
      <c r="G29" s="28" t="inlineStr">
        <is>
          <t>Audit/assessment report; Assessor qualifications/approval; CE submission confirmation; Remediation tracker</t>
        </is>
      </c>
      <c r="H29" s="28" t="inlineStr">
        <is>
          <t>Inspection</t>
        </is>
      </c>
      <c r="I29" s="28" t="inlineStr"/>
      <c r="J29" s="28" t="inlineStr"/>
      <c r="K29" s="28" t="inlineStr"/>
      <c r="L29" s="28" t="inlineStr"/>
      <c r="M29" s="28" t="inlineStr"/>
      <c r="N29" s="28" t="inlineStr"/>
    </row>
    <row r="30">
      <c r="A30" s="27" t="inlineStr">
        <is>
          <t>7.2.5.2</t>
        </is>
      </c>
      <c r="B30" s="27" t="inlineStr">
        <is>
          <t>NACSA-7.2.5b</t>
        </is>
      </c>
      <c r="C30" s="27" t="inlineStr"/>
      <c r="D30" s="27" t="inlineStr"/>
      <c r="E30" s="27" t="inlineStr">
        <is>
          <t>(Tier 2 -- Improvement Opportunity) A remediation plan should be created, detailing the necessary steps, assigned pe...</t>
        </is>
      </c>
      <c r="F30" s="2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7.2.5.2.</t>
        </is>
      </c>
      <c r="G30" s="27" t="inlineStr">
        <is>
          <t>Relevant policy/procedure; Implementation evidence; Review/monitoring records</t>
        </is>
      </c>
      <c r="H30" s="27" t="inlineStr">
        <is>
          <t>Inspection</t>
        </is>
      </c>
      <c r="I30" s="27" t="inlineStr"/>
      <c r="J30" s="27" t="inlineStr"/>
      <c r="K30" s="27" t="inlineStr"/>
      <c r="L30" s="27" t="inlineStr"/>
      <c r="M30" s="27" t="inlineStr"/>
      <c r="N30" s="27" t="inlineStr"/>
    </row>
    <row r="31">
      <c r="A31" s="28" t="inlineStr">
        <is>
          <t>7.2.5.3</t>
        </is>
      </c>
      <c r="B31" s="28" t="inlineStr">
        <is>
          <t>NACSA-7.2.5c</t>
        </is>
      </c>
      <c r="C31" s="28" t="inlineStr"/>
      <c r="D31" s="28" t="inlineStr"/>
      <c r="E31" s="28" t="inlineStr">
        <is>
          <t>Progress on remediation efforts shall be monitored, with regular updates provided to the relevant cyber security governa...</t>
        </is>
      </c>
      <c r="F31" s="28" t="inlineStr">
        <is>
          <t>1. Request the Security Monitoring Procedure (SMP) document.
2. Verify SIEM log source coverage — cross-reference against NCII asset inventory.
3. Review 20 alerts from the last 30 days — verify triage within defined SLAs.
4. Check MTTD and MTTR metrics are measured and trending.</t>
        </is>
      </c>
      <c r="G31" s="28" t="inlineStr">
        <is>
          <t>Approved policy/procedure document; Committee approval record; Version history</t>
        </is>
      </c>
      <c r="H31" s="28" t="inlineStr">
        <is>
          <t>Inspection</t>
        </is>
      </c>
      <c r="I31" s="28" t="inlineStr"/>
      <c r="J31" s="28" t="inlineStr"/>
      <c r="K31" s="28" t="inlineStr"/>
      <c r="L31" s="28" t="inlineStr"/>
      <c r="M31" s="28" t="inlineStr"/>
      <c r="N31" s="28" t="inlineStr"/>
    </row>
    <row r="32">
      <c r="A32" s="27" t="inlineStr">
        <is>
          <t>7.2.5.4</t>
        </is>
      </c>
      <c r="B32" s="27" t="inlineStr">
        <is>
          <t>NACSA-7.2.5d</t>
        </is>
      </c>
      <c r="C32" s="27" t="inlineStr"/>
      <c r="D32" s="27" t="inlineStr"/>
      <c r="E32" s="27" t="inlineStr">
        <is>
          <t>(Tier 2 -- Improvement Opportunity) Follow-up audits may be conducted to ensure the effectiveness of corrective meas...</t>
        </is>
      </c>
      <c r="F32" s="27" t="inlineStr">
        <is>
          <t>1. Request the most recent audit/assessment report.
2. Verify it was conducted by an approved/qualified party.
3. Confirm submission to CE NACSA within required timeframe.
4. Check that findings are tracked with remediation plans.</t>
        </is>
      </c>
      <c r="G32" s="27" t="inlineStr">
        <is>
          <t>Audit/assessment report; Assessor qualifications/approval; CE submission confirmation; Remediation tracker</t>
        </is>
      </c>
      <c r="H32" s="27" t="inlineStr">
        <is>
          <t>Inspection</t>
        </is>
      </c>
      <c r="I32" s="27" t="inlineStr"/>
      <c r="J32" s="27" t="inlineStr"/>
      <c r="K32" s="27" t="inlineStr"/>
      <c r="L32" s="27" t="inlineStr"/>
      <c r="M32" s="27" t="inlineStr"/>
      <c r="N32" s="27" t="inlineStr"/>
    </row>
    <row r="33">
      <c r="A33" s="25" t="inlineStr">
        <is>
          <t>7.3.1</t>
        </is>
      </c>
      <c r="B33" s="25" t="inlineStr">
        <is>
          <t>NACSA-7.3.1</t>
        </is>
      </c>
      <c r="C33" s="25" t="inlineStr">
        <is>
          <t>ORG</t>
        </is>
      </c>
      <c r="D33" s="25" t="inlineStr">
        <is>
          <t>Establishment of Supply Chain Management Policy</t>
        </is>
      </c>
      <c r="E33" s="25" t="inlineStr">
        <is>
          <t>Assess 2 mandatory requirement(s)</t>
        </is>
      </c>
      <c r="F33" s="25" t="inlineStr"/>
      <c r="G33" s="25" t="inlineStr"/>
      <c r="H33" s="25" t="inlineStr"/>
      <c r="I33" s="25" t="inlineStr"/>
      <c r="J33" s="25" t="inlineStr"/>
      <c r="K33" s="25" t="inlineStr"/>
      <c r="L33" s="25" t="inlineStr"/>
      <c r="M33" s="26" t="inlineStr"/>
      <c r="N33" s="26" t="inlineStr"/>
    </row>
    <row r="34">
      <c r="A34" s="28" t="inlineStr">
        <is>
          <t>7.3.1.1</t>
        </is>
      </c>
      <c r="B34" s="28" t="inlineStr">
        <is>
          <t>NACSA-7.3.1a</t>
        </is>
      </c>
      <c r="C34" s="28" t="inlineStr"/>
      <c r="D34" s="28" t="inlineStr"/>
      <c r="E34" s="28" t="inlineStr">
        <is>
          <t>The NCII entity shall define a Supply Chain Management (SCM) Policy to ensure the following:
- Proactively identify, ass...</t>
        </is>
      </c>
      <c r="F34" s="28" t="inlineStr">
        <is>
          <t>1. Request the SCM policy and external service provider register.
2. Verify CSSP licences for all cyber security service providers (check against CE register).
3. Sample 5 vendor contracts — verify cyber security clauses and right-to-audit provisions.
4. Check that vendor risk assessments are conducted and current.</t>
        </is>
      </c>
      <c r="G34" s="28" t="inlineStr">
        <is>
          <t>Approved policy/procedure document; Committee approval record; Version history</t>
        </is>
      </c>
      <c r="H34" s="28" t="inlineStr">
        <is>
          <t>Inspection</t>
        </is>
      </c>
      <c r="I34" s="28" t="inlineStr"/>
      <c r="J34" s="28" t="inlineStr"/>
      <c r="K34" s="28" t="inlineStr"/>
      <c r="L34" s="28" t="inlineStr"/>
      <c r="M34" s="28" t="inlineStr"/>
      <c r="N34" s="28" t="inlineStr"/>
    </row>
    <row r="35">
      <c r="A35" s="7" t="inlineStr">
        <is>
          <t>7.3.1.2</t>
        </is>
      </c>
      <c r="B35" s="7" t="inlineStr">
        <is>
          <t>NACSA-7.3.1b</t>
        </is>
      </c>
      <c r="C35" s="7" t="inlineStr"/>
      <c r="D35" s="7" t="inlineStr"/>
      <c r="E35" s="7" t="inlineStr">
        <is>
          <t>The SCM Policy shall include the following:
- Suppliers must demonstrate compliance with recognised security standards s...</t>
        </is>
      </c>
      <c r="F35" s="7" t="inlineStr">
        <is>
          <t>1. Request NDA templates for all relationship types (employee, contractor, vendor).
2. Verify NDAs include all 4 required elements: definition, obligations, permitted use, consequences.
3. Check for explicit reference to NCII designation and s49 secrecy.
4. Sample 10 signed NDAs — verify coverage across employees, contractors, and vendors.</t>
        </is>
      </c>
      <c r="G35" s="7" t="inlineStr">
        <is>
          <t>Approved policy/procedure document; Committee approval record; Version history</t>
        </is>
      </c>
      <c r="H35" s="7" t="inlineStr">
        <is>
          <t>Inspection</t>
        </is>
      </c>
      <c r="I35" s="7" t="inlineStr"/>
      <c r="J35" s="7" t="inlineStr"/>
      <c r="K35" s="7" t="inlineStr"/>
      <c r="L35" s="7" t="inlineStr"/>
      <c r="M35" s="7" t="inlineStr"/>
      <c r="N35" s="7" t="inlineStr"/>
    </row>
    <row r="36">
      <c r="A36" s="25" t="inlineStr">
        <is>
          <t>7.3.2</t>
        </is>
      </c>
      <c r="B36" s="25" t="inlineStr">
        <is>
          <t>NACSA-7.3.2</t>
        </is>
      </c>
      <c r="C36" s="25" t="inlineStr">
        <is>
          <t>ORG</t>
        </is>
      </c>
      <c r="D36" s="25" t="inlineStr">
        <is>
          <t>Identification and Documentation of External Service Providers</t>
        </is>
      </c>
      <c r="E36" s="25" t="inlineStr">
        <is>
          <t>Assess 1 mandatory requirement(s)</t>
        </is>
      </c>
      <c r="F36" s="25" t="inlineStr"/>
      <c r="G36" s="25" t="inlineStr"/>
      <c r="H36" s="25" t="inlineStr"/>
      <c r="I36" s="25" t="inlineStr"/>
      <c r="J36" s="25" t="inlineStr"/>
      <c r="K36" s="25" t="inlineStr"/>
      <c r="L36" s="25" t="inlineStr"/>
      <c r="M36" s="26" t="inlineStr"/>
      <c r="N36" s="26" t="inlineStr"/>
    </row>
    <row r="37">
      <c r="A37" s="28" t="inlineStr">
        <is>
          <t>7.3.2.1</t>
        </is>
      </c>
      <c r="B37" s="28" t="inlineStr">
        <is>
          <t>NACSA-7.3.2a</t>
        </is>
      </c>
      <c r="C37" s="28" t="inlineStr"/>
      <c r="D37" s="28" t="inlineStr"/>
      <c r="E37" s="28" t="inlineStr">
        <is>
          <t>All external service providers handling IT infrastructure, software or sensitive data shall be identified and documented...</t>
        </is>
      </c>
      <c r="F37" s="28" t="inlineStr">
        <is>
          <t>1. Request the most recent audit/assessment report.
2. Verify it was conducted by an approved/qualified party.
3. Confirm submission to CE NACSA within required timeframe.
4. Check that findings are tracked with remediation plans.</t>
        </is>
      </c>
      <c r="G37" s="28" t="inlineStr">
        <is>
          <t>Audit/assessment report; Assessor qualifications/approval; CE submission confirmation; Remediation tracker</t>
        </is>
      </c>
      <c r="H37" s="28" t="inlineStr">
        <is>
          <t>Inspection</t>
        </is>
      </c>
      <c r="I37" s="28" t="inlineStr"/>
      <c r="J37" s="28" t="inlineStr"/>
      <c r="K37" s="28" t="inlineStr"/>
      <c r="L37" s="28" t="inlineStr"/>
      <c r="M37" s="28" t="inlineStr"/>
      <c r="N37" s="28" t="inlineStr"/>
    </row>
    <row r="38">
      <c r="A38" s="25" t="inlineStr">
        <is>
          <t>7.3.3</t>
        </is>
      </c>
      <c r="B38" s="25" t="inlineStr">
        <is>
          <t>NACSA-7.3.3</t>
        </is>
      </c>
      <c r="C38" s="25" t="inlineStr">
        <is>
          <t>ORG</t>
        </is>
      </c>
      <c r="D38" s="25" t="inlineStr">
        <is>
          <t>Review of Supply Chain Management Policy</t>
        </is>
      </c>
      <c r="E38" s="25" t="inlineStr">
        <is>
          <t>Assess 2 mandatory requirement(s)</t>
        </is>
      </c>
      <c r="F38" s="25" t="inlineStr"/>
      <c r="G38" s="25" t="inlineStr"/>
      <c r="H38" s="25" t="inlineStr"/>
      <c r="I38" s="25" t="inlineStr"/>
      <c r="J38" s="25" t="inlineStr"/>
      <c r="K38" s="25" t="inlineStr"/>
      <c r="L38" s="25" t="inlineStr"/>
      <c r="M38" s="26" t="inlineStr"/>
      <c r="N38" s="26" t="inlineStr"/>
    </row>
    <row r="39">
      <c r="A39" s="7" t="inlineStr">
        <is>
          <t>7.3.3.1</t>
        </is>
      </c>
      <c r="B39" s="7" t="inlineStr">
        <is>
          <t>NACSA-7.3.3a</t>
        </is>
      </c>
      <c r="C39" s="7" t="inlineStr"/>
      <c r="D39" s="7" t="inlineStr"/>
      <c r="E39" s="7" t="inlineStr">
        <is>
          <t>The SCM Policy and external service provider register shall be reviewed annually to ensure ongoing compliance with evolv...</t>
        </is>
      </c>
      <c r="F39" s="7" t="inlineStr">
        <is>
          <t>1. Request evidence of the last review — meeting minutes, review report, or updated document with review date.
2. Verify review was conducted within the required period (annually or as specified).
3. Check that review outcomes are documented with any changes approved.
4. Confirm the review addressed current threats, regulatory changes, and lessons learned.</t>
        </is>
      </c>
      <c r="G39" s="7" t="inlineStr">
        <is>
          <t>Approved policy/procedure document; Committee approval record; Version history</t>
        </is>
      </c>
      <c r="H39" s="7" t="inlineStr">
        <is>
          <t>Inspection</t>
        </is>
      </c>
      <c r="I39" s="7" t="inlineStr"/>
      <c r="J39" s="7" t="inlineStr"/>
      <c r="K39" s="7" t="inlineStr"/>
      <c r="L39" s="7" t="inlineStr"/>
      <c r="M39" s="7" t="inlineStr"/>
      <c r="N39" s="7" t="inlineStr"/>
    </row>
    <row r="40">
      <c r="A40" s="28" t="inlineStr">
        <is>
          <t>7.3.3.2</t>
        </is>
      </c>
      <c r="B40" s="28" t="inlineStr">
        <is>
          <t>NACSA-7.3.3b</t>
        </is>
      </c>
      <c r="C40" s="28" t="inlineStr"/>
      <c r="D40" s="28" t="inlineStr"/>
      <c r="E40" s="28" t="inlineStr">
        <is>
          <t>The review process shall include, but is not limited to risk reassessment, compliance verification and vendor performanc...</t>
        </is>
      </c>
      <c r="F40" s="28" t="inlineStr">
        <is>
          <t>1. Request the most recent audit/assessment report.
2. Verify it was conducted by an approved/qualified party.
3. Confirm submission to CE NACSA within required timeframe.
4. Check that findings are tracked with remediation plans.</t>
        </is>
      </c>
      <c r="G40" s="28" t="inlineStr">
        <is>
          <t>Audit/assessment report; Assessor qualifications/approval; CE submission confirmation; Remediation tracker</t>
        </is>
      </c>
      <c r="H40" s="28" t="inlineStr">
        <is>
          <t>Inspection</t>
        </is>
      </c>
      <c r="I40" s="28" t="inlineStr"/>
      <c r="J40" s="28" t="inlineStr"/>
      <c r="K40" s="28" t="inlineStr"/>
      <c r="L40" s="28" t="inlineStr"/>
      <c r="M40" s="28" t="inlineStr"/>
      <c r="N40" s="28" t="inlineStr"/>
    </row>
  </sheetData>
  <mergeCells count="2">
    <mergeCell ref="A3:N3"/>
    <mergeCell ref="A2:N2"/>
  </mergeCells>
  <conditionalFormatting sqref="M4:M41">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40"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8.0 — Resource Allocation and Optimisation (Organisation-Level)</t>
        </is>
      </c>
      <c r="B2" s="38" t="n"/>
      <c r="C2" s="38" t="n"/>
      <c r="D2" s="38" t="n"/>
      <c r="E2" s="38" t="n"/>
      <c r="F2" s="38" t="n"/>
      <c r="G2" s="38" t="n"/>
      <c r="H2" s="38" t="n"/>
      <c r="I2" s="38" t="n"/>
      <c r="J2" s="38" t="n"/>
      <c r="K2" s="38" t="n"/>
      <c r="L2" s="38" t="n"/>
      <c r="M2" s="38" t="n"/>
      <c r="N2" s="39" t="n"/>
    </row>
    <row r="3" ht="60" customHeight="1">
      <c r="A3" s="23" t="inlineStr">
        <is>
          <t>WHY: You cannot protect what you don't know exists. Asset management and capacity planning ensure NCII systems are identified, classified, and adequately resourced. Act 854 s17 designation depends on knowing what qualifies.
WHAT GOOD LOOKS LIKE: Complete CMDB/asset register with classification, assigned ownership, quarterly maintenance, capacity monitoring with alerts, annual forecasting, performance testing before go-live.
KEY RISK IF ABSENT: Unmanaged shadow assets, unpatched systems, capacity failures under load, NCII not properly reported to sector lead.</t>
        </is>
      </c>
      <c r="B3" s="38" t="n"/>
      <c r="C3" s="38" t="n"/>
      <c r="D3" s="38" t="n"/>
      <c r="E3" s="38" t="n"/>
      <c r="F3" s="38" t="n"/>
      <c r="G3" s="38" t="n"/>
      <c r="H3" s="38" t="n"/>
      <c r="I3" s="38" t="n"/>
      <c r="J3" s="38" t="n"/>
      <c r="K3" s="38" t="n"/>
      <c r="L3" s="38" t="n"/>
      <c r="M3" s="38" t="n"/>
      <c r="N3" s="39" t="n"/>
    </row>
    <row r="4">
      <c r="A4" s="25" t="inlineStr">
        <is>
          <t>8.1.1</t>
        </is>
      </c>
      <c r="B4" s="25" t="inlineStr">
        <is>
          <t>NACSA-8.1.1</t>
        </is>
      </c>
      <c r="C4" s="25" t="inlineStr">
        <is>
          <t>ORG</t>
        </is>
      </c>
      <c r="D4" s="25" t="inlineStr">
        <is>
          <t>Establishment of IT Assets Inventory</t>
        </is>
      </c>
      <c r="E4" s="25" t="inlineStr">
        <is>
          <t>Assess 5 mandatory requirement(s)</t>
        </is>
      </c>
      <c r="F4" s="25" t="inlineStr"/>
      <c r="G4" s="25" t="inlineStr"/>
      <c r="H4" s="25" t="inlineStr"/>
      <c r="I4" s="25" t="inlineStr"/>
      <c r="J4" s="25" t="inlineStr"/>
      <c r="K4" s="25" t="inlineStr"/>
      <c r="L4" s="25" t="inlineStr"/>
      <c r="M4" s="26" t="inlineStr"/>
      <c r="N4" s="26" t="inlineStr"/>
    </row>
    <row r="5">
      <c r="A5" s="7" t="inlineStr">
        <is>
          <t>8.1.1.1</t>
        </is>
      </c>
      <c r="B5" s="7" t="inlineStr">
        <is>
          <t>NACSA-8.1.1a</t>
        </is>
      </c>
      <c r="C5" s="7" t="inlineStr"/>
      <c r="D5" s="7" t="inlineStr"/>
      <c r="E5" s="7" t="inlineStr">
        <is>
          <t>The NCII entity shall establish an IT assets inventory, listing all the computer or computer system as the following:
- ...</t>
        </is>
      </c>
      <c r="F5" s="7" t="inlineStr">
        <is>
          <t>1. Request the complete NCII asset inventory/register.
2. Verify it includes all required attributes (owner, location, classification, criticality).
3. Run a network discovery scan on 2 NCII subnets and compare results to the register.
4. Sample 10 assets — verify classification and ownership are current and accurate.</t>
        </is>
      </c>
      <c r="G5" s="7" t="inlineStr">
        <is>
          <t>Approved policy/procedure document; Committee approval record; Version history</t>
        </is>
      </c>
      <c r="H5" s="7" t="inlineStr">
        <is>
          <t>Inspection</t>
        </is>
      </c>
      <c r="I5" s="7" t="inlineStr"/>
      <c r="J5" s="7" t="inlineStr"/>
      <c r="K5" s="7" t="inlineStr"/>
      <c r="L5" s="7" t="inlineStr"/>
      <c r="M5" s="7" t="inlineStr"/>
      <c r="N5" s="7" t="inlineStr"/>
    </row>
    <row r="6">
      <c r="A6" s="28" t="inlineStr">
        <is>
          <t>8.1.1.2</t>
        </is>
      </c>
      <c r="B6" s="28" t="inlineStr">
        <is>
          <t>NACSA-8.1.1b</t>
        </is>
      </c>
      <c r="C6" s="28" t="inlineStr"/>
      <c r="D6" s="28" t="inlineStr"/>
      <c r="E6" s="28" t="inlineStr">
        <is>
          <t>The inventory shall be centrally managed and updated in an asset management system.</t>
        </is>
      </c>
      <c r="F6" s="28" t="inlineStr">
        <is>
          <t>1. Request the asset register/CMDB extract.
2. Verify all NCII systems are included with required attributes.
3. Sample 15 assets — confirm data accuracy (owner, classification, status).
4. Check maintenance plan and review records.</t>
        </is>
      </c>
      <c r="G6" s="28" t="inlineStr">
        <is>
          <t>Asset register/CMDB; Asset classification records; Maintenance plan; Review records</t>
        </is>
      </c>
      <c r="H6" s="28" t="inlineStr">
        <is>
          <t>Inspection</t>
        </is>
      </c>
      <c r="I6" s="28" t="inlineStr"/>
      <c r="J6" s="28" t="inlineStr"/>
      <c r="K6" s="28" t="inlineStr"/>
      <c r="L6" s="28" t="inlineStr"/>
      <c r="M6" s="28" t="inlineStr"/>
      <c r="N6" s="28" t="inlineStr"/>
    </row>
    <row r="7">
      <c r="A7" s="7" t="inlineStr">
        <is>
          <t>8.1.1.3</t>
        </is>
      </c>
      <c r="B7" s="7" t="inlineStr">
        <is>
          <t>NACSA-8.1.1c</t>
        </is>
      </c>
      <c r="C7" s="7" t="inlineStr"/>
      <c r="D7" s="7" t="inlineStr"/>
      <c r="E7" s="7" t="inlineStr">
        <is>
          <t>Each IT assets shall be recorded with:
- Unique identification number
- Date of acquisition
- Purchase price / Value of ...</t>
        </is>
      </c>
      <c r="F7" s="7" t="inlineStr">
        <is>
          <t>1. Request the asset register/CMDB extract.
2. Verify all NCII systems are included with required attributes.
3. Sample 15 assets — confirm data accuracy (owner, classification, status).
4. Check maintenance plan and review records.</t>
        </is>
      </c>
      <c r="G7" s="7" t="inlineStr">
        <is>
          <t>Asset register/CMDB; Asset classification records; Maintenance plan; Review records</t>
        </is>
      </c>
      <c r="H7" s="7" t="inlineStr">
        <is>
          <t>Inspection</t>
        </is>
      </c>
      <c r="I7" s="7" t="inlineStr"/>
      <c r="J7" s="7" t="inlineStr"/>
      <c r="K7" s="7" t="inlineStr"/>
      <c r="L7" s="7" t="inlineStr"/>
      <c r="M7" s="7" t="inlineStr"/>
      <c r="N7" s="7" t="inlineStr"/>
    </row>
    <row r="8">
      <c r="A8" s="28" t="inlineStr">
        <is>
          <t>8.1.1.4</t>
        </is>
      </c>
      <c r="B8" s="28" t="inlineStr">
        <is>
          <t>NACSA-8.1.1d</t>
        </is>
      </c>
      <c r="C8" s="28" t="inlineStr"/>
      <c r="D8" s="28" t="inlineStr"/>
      <c r="E8" s="28" t="inlineStr">
        <is>
          <t>In instances where the NCII entity acquires control over a computer or computer system that, in its assessment, qualifie...</t>
        </is>
      </c>
      <c r="F8" s="28" t="inlineStr">
        <is>
          <t>1. Request the most recent audit/assessment report.
2. Verify it was conducted by an approved/qualified party.
3. Confirm submission to CE NACSA within required timeframe.
4. Check that findings are tracked with remediation plans.</t>
        </is>
      </c>
      <c r="G8" s="28" t="inlineStr">
        <is>
          <t>Audit/assessment report; Assessor qualifications/approval; CE submission confirmation; Remediation tracker</t>
        </is>
      </c>
      <c r="H8" s="28" t="inlineStr">
        <is>
          <t>Inspection</t>
        </is>
      </c>
      <c r="I8" s="28" t="inlineStr"/>
      <c r="J8" s="28" t="inlineStr"/>
      <c r="K8" s="28" t="inlineStr"/>
      <c r="L8" s="28" t="inlineStr"/>
      <c r="M8" s="28" t="inlineStr"/>
      <c r="N8" s="28" t="inlineStr"/>
    </row>
    <row r="9">
      <c r="A9" s="7" t="inlineStr">
        <is>
          <t>8.1.1.5</t>
        </is>
      </c>
      <c r="B9" s="7" t="inlineStr">
        <is>
          <t>NACSA-8.1.1e</t>
        </is>
      </c>
      <c r="C9" s="7" t="inlineStr"/>
      <c r="D9" s="7" t="inlineStr"/>
      <c r="E9" s="7" t="inlineStr">
        <is>
          <t>If there are any material changes to the NCII following the initial submission of information, where such a change impac...</t>
        </is>
      </c>
      <c r="F9" s="7" t="inlineStr">
        <is>
          <t>1. Request the incident management procedure (CSIMP).
2. Verify CSIRT membership and authorised person designations.
3. Confirm NC4 portal access and 6-hour notification capability.
4. Review incident log and tabletop exercise results.</t>
        </is>
      </c>
      <c r="G9" s="7" t="inlineStr">
        <is>
          <t>CSIMP document; CSIRT charter; NC4 portal evidence; Incident log; Tabletop results</t>
        </is>
      </c>
      <c r="H9" s="7" t="inlineStr">
        <is>
          <t>Inspection</t>
        </is>
      </c>
      <c r="I9" s="7" t="inlineStr"/>
      <c r="J9" s="7" t="inlineStr"/>
      <c r="K9" s="7" t="inlineStr"/>
      <c r="L9" s="7" t="inlineStr"/>
      <c r="M9" s="7" t="inlineStr"/>
      <c r="N9" s="7" t="inlineStr"/>
    </row>
    <row r="10">
      <c r="A10" s="25" t="inlineStr">
        <is>
          <t>8.1.2</t>
        </is>
      </c>
      <c r="B10" s="25" t="inlineStr">
        <is>
          <t>NACSA-8.1.2</t>
        </is>
      </c>
      <c r="C10" s="25" t="inlineStr">
        <is>
          <t>ORG</t>
        </is>
      </c>
      <c r="D10" s="25" t="inlineStr">
        <is>
          <t>Maintenance of IT Assets Inventory</t>
        </is>
      </c>
      <c r="E10" s="25" t="inlineStr">
        <is>
          <t>Assess 2 mandatory requirement(s)</t>
        </is>
      </c>
      <c r="F10" s="25" t="inlineStr"/>
      <c r="G10" s="25" t="inlineStr"/>
      <c r="H10" s="25" t="inlineStr"/>
      <c r="I10" s="25" t="inlineStr"/>
      <c r="J10" s="25" t="inlineStr"/>
      <c r="K10" s="25" t="inlineStr"/>
      <c r="L10" s="25" t="inlineStr"/>
      <c r="M10" s="26" t="inlineStr"/>
      <c r="N10" s="26" t="inlineStr"/>
    </row>
    <row r="11">
      <c r="A11" s="28" t="inlineStr">
        <is>
          <t>8.1.2.1</t>
        </is>
      </c>
      <c r="B11" s="28" t="inlineStr">
        <is>
          <t>NACSA-8.1.2a</t>
        </is>
      </c>
      <c r="C11" s="28" t="inlineStr"/>
      <c r="D11" s="28" t="inlineStr"/>
      <c r="E11" s="28" t="inlineStr">
        <is>
          <t>IT assets inventory shall be maintained and continuously updated to reflect:
- Newly acquired assets
- Decommissioned or...</t>
        </is>
      </c>
      <c r="F11" s="28" t="inlineStr">
        <is>
          <t>1. Request the asset register/CMDB extract.
2. Verify all NCII systems are included with required attributes.
3. Sample 15 assets — confirm data accuracy (owner, classification, status).
4. Check maintenance plan and review records.</t>
        </is>
      </c>
      <c r="G11" s="28" t="inlineStr">
        <is>
          <t>Asset register/CMDB; Asset classification records; Maintenance plan; Review records</t>
        </is>
      </c>
      <c r="H11" s="28" t="inlineStr">
        <is>
          <t>Inspection</t>
        </is>
      </c>
      <c r="I11" s="28" t="inlineStr"/>
      <c r="J11" s="28" t="inlineStr"/>
      <c r="K11" s="28" t="inlineStr"/>
      <c r="L11" s="28" t="inlineStr"/>
      <c r="M11" s="28" t="inlineStr"/>
      <c r="N11" s="28" t="inlineStr"/>
    </row>
    <row r="12">
      <c r="A12" s="7" t="inlineStr">
        <is>
          <t>8.1.2.2</t>
        </is>
      </c>
      <c r="B12" s="7" t="inlineStr">
        <is>
          <t>NACSA-8.1.2b</t>
        </is>
      </c>
      <c r="C12" s="7" t="inlineStr"/>
      <c r="D12" s="7" t="inlineStr"/>
      <c r="E12" s="7" t="inlineStr">
        <is>
          <t>A maintenance plan shall be established, incorporating quarterly preventive maintenance and corrective maintenance, alon...</t>
        </is>
      </c>
      <c r="F12" s="7" t="inlineStr">
        <is>
          <t>1. Request the current plan document with approval records.
2. Verify it is formally approved by the governance committee or top management (check signatures, dates).
3. Confirm it addresses all elements specified in this clause.
4. Verify version control is maintained with change history.</t>
        </is>
      </c>
      <c r="G12" s="7" t="inlineStr">
        <is>
          <t>Approved policy/procedure document; Committee approval record; Version history</t>
        </is>
      </c>
      <c r="H12" s="7" t="inlineStr">
        <is>
          <t>Inspection</t>
        </is>
      </c>
      <c r="I12" s="7" t="inlineStr"/>
      <c r="J12" s="7" t="inlineStr"/>
      <c r="K12" s="7" t="inlineStr"/>
      <c r="L12" s="7" t="inlineStr"/>
      <c r="M12" s="7" t="inlineStr"/>
      <c r="N12" s="7" t="inlineStr"/>
    </row>
    <row r="13">
      <c r="A13" s="25" t="inlineStr">
        <is>
          <t>8.1.3</t>
        </is>
      </c>
      <c r="B13" s="25" t="inlineStr">
        <is>
          <t>NACSA-8.1.3</t>
        </is>
      </c>
      <c r="C13" s="25" t="inlineStr">
        <is>
          <t>ORG</t>
        </is>
      </c>
      <c r="D13" s="25" t="inlineStr">
        <is>
          <t>Classification and Ownership</t>
        </is>
      </c>
      <c r="E13" s="25" t="inlineStr">
        <is>
          <t>Assess 4 mandatory requirement(s)</t>
        </is>
      </c>
      <c r="F13" s="25" t="inlineStr"/>
      <c r="G13" s="25" t="inlineStr"/>
      <c r="H13" s="25" t="inlineStr"/>
      <c r="I13" s="25" t="inlineStr"/>
      <c r="J13" s="25" t="inlineStr"/>
      <c r="K13" s="25" t="inlineStr"/>
      <c r="L13" s="25" t="inlineStr"/>
      <c r="M13" s="26" t="inlineStr"/>
      <c r="N13" s="26" t="inlineStr"/>
    </row>
    <row r="14">
      <c r="A14" s="28" t="inlineStr">
        <is>
          <t>8.1.3.1</t>
        </is>
      </c>
      <c r="B14" s="28" t="inlineStr">
        <is>
          <t>NACSA-8.1.3a</t>
        </is>
      </c>
      <c r="C14" s="28" t="inlineStr"/>
      <c r="D14" s="28" t="inlineStr"/>
      <c r="E14" s="28" t="inlineStr">
        <is>
          <t>All IT assets shall be classified based on their value, sensitivity level, and the risks they pose to the NCII entity.</t>
        </is>
      </c>
      <c r="F14" s="28" t="inlineStr">
        <is>
          <t>1. Request the asset register/CMDB extract.
2. Verify all NCII systems are included with required attributes.
3. Sample 15 assets — confirm data accuracy (owner, classification, status).
4. Check maintenance plan and review records.</t>
        </is>
      </c>
      <c r="G14" s="28" t="inlineStr">
        <is>
          <t>Asset register/CMDB; Asset classification records; Maintenance plan; Review records</t>
        </is>
      </c>
      <c r="H14" s="28" t="inlineStr">
        <is>
          <t>Inspection</t>
        </is>
      </c>
      <c r="I14" s="28" t="inlineStr"/>
      <c r="J14" s="28" t="inlineStr"/>
      <c r="K14" s="28" t="inlineStr"/>
      <c r="L14" s="28" t="inlineStr"/>
      <c r="M14" s="28" t="inlineStr"/>
      <c r="N14" s="28" t="inlineStr"/>
    </row>
    <row r="15">
      <c r="A15" s="7" t="inlineStr">
        <is>
          <t>8.1.3.2</t>
        </is>
      </c>
      <c r="B15" s="7" t="inlineStr">
        <is>
          <t>NACSA-8.1.3b</t>
        </is>
      </c>
      <c r="C15" s="7" t="inlineStr"/>
      <c r="D15" s="7" t="inlineStr"/>
      <c r="E15" s="7" t="inlineStr">
        <is>
          <t>Priority shall be given to securing funding and resources to adequately protect these assets, ensuring that risks are ef...</t>
        </is>
      </c>
      <c r="F15" s="7" t="inlineStr">
        <is>
          <t>1. Request the asset register/CMDB extract.
2. Verify all NCII systems are included with required attributes.
3. Sample 15 assets — confirm data accuracy (owner, classification, status).
4. Check maintenance plan and review records.</t>
        </is>
      </c>
      <c r="G15" s="7" t="inlineStr">
        <is>
          <t>Asset register/CMDB; Asset classification records; Maintenance plan; Review records</t>
        </is>
      </c>
      <c r="H15" s="7" t="inlineStr">
        <is>
          <t>Inspection</t>
        </is>
      </c>
      <c r="I15" s="7" t="inlineStr"/>
      <c r="J15" s="7" t="inlineStr"/>
      <c r="K15" s="7" t="inlineStr"/>
      <c r="L15" s="7" t="inlineStr"/>
      <c r="M15" s="7" t="inlineStr"/>
      <c r="N15" s="7" t="inlineStr"/>
    </row>
    <row r="16">
      <c r="A16" s="28" t="inlineStr">
        <is>
          <t>8.1.3.3</t>
        </is>
      </c>
      <c r="B16" s="28" t="inlineStr">
        <is>
          <t>NACSA-8.1.3c</t>
        </is>
      </c>
      <c r="C16" s="28" t="inlineStr"/>
      <c r="D16" s="28" t="inlineStr"/>
      <c r="E16" s="28" t="inlineStr">
        <is>
          <t>The sensitivity level of an IT assets shall be classified as follows, and labelled accordingly:
- Public
- Restricted
- ...</t>
        </is>
      </c>
      <c r="F16" s="28" t="inlineStr">
        <is>
          <t>1. Request the asset register/CMDB extract.
2. Verify all NCII systems are included with required attributes.
3. Sample 15 assets — confirm data accuracy (owner, classification, status).
4. Check maintenance plan and review records.</t>
        </is>
      </c>
      <c r="G16" s="28" t="inlineStr">
        <is>
          <t>Asset register/CMDB; Asset classification records; Maintenance plan; Review records</t>
        </is>
      </c>
      <c r="H16" s="28" t="inlineStr">
        <is>
          <t>Inspection</t>
        </is>
      </c>
      <c r="I16" s="28" t="inlineStr"/>
      <c r="J16" s="28" t="inlineStr"/>
      <c r="K16" s="28" t="inlineStr"/>
      <c r="L16" s="28" t="inlineStr"/>
      <c r="M16" s="28" t="inlineStr"/>
      <c r="N16" s="28" t="inlineStr"/>
    </row>
    <row r="17">
      <c r="A17" s="7" t="inlineStr">
        <is>
          <t>8.1.3.4</t>
        </is>
      </c>
      <c r="B17" s="7" t="inlineStr">
        <is>
          <t>NACSA-8.1.3d</t>
        </is>
      </c>
      <c r="C17" s="7" t="inlineStr"/>
      <c r="D17" s="7" t="inlineStr"/>
      <c r="E17" s="7" t="inlineStr">
        <is>
          <t>Each asset shall have an assigned owner responsible for:
- Security controls and compliance.
- Lifecycle management (upd...</t>
        </is>
      </c>
      <c r="F17" s="7" t="inlineStr">
        <is>
          <t>1. Request the incident management procedure (CSIMP).
2. Verify CSIRT membership and authorised person designations.
3. Confirm NC4 portal access and 6-hour notification capability.
4. Review incident log and tabletop exercise results.</t>
        </is>
      </c>
      <c r="G17" s="7" t="inlineStr">
        <is>
          <t>CSIMP document; CSIRT charter; NC4 portal evidence; Incident log; Tabletop results</t>
        </is>
      </c>
      <c r="H17" s="7" t="inlineStr">
        <is>
          <t>Inspection</t>
        </is>
      </c>
      <c r="I17" s="7" t="inlineStr"/>
      <c r="J17" s="7" t="inlineStr"/>
      <c r="K17" s="7" t="inlineStr"/>
      <c r="L17" s="7" t="inlineStr"/>
      <c r="M17" s="7" t="inlineStr"/>
      <c r="N17" s="7" t="inlineStr"/>
    </row>
    <row r="18">
      <c r="A18" s="25" t="inlineStr">
        <is>
          <t>8.1.4</t>
        </is>
      </c>
      <c r="B18" s="25" t="inlineStr">
        <is>
          <t>NACSA-8.1.4</t>
        </is>
      </c>
      <c r="C18" s="25" t="inlineStr">
        <is>
          <t>ORG</t>
        </is>
      </c>
      <c r="D18" s="25" t="inlineStr">
        <is>
          <t>Review of IT Assets Inventory</t>
        </is>
      </c>
      <c r="E18" s="25" t="inlineStr">
        <is>
          <t>Assess 2 mandatory requirement(s)</t>
        </is>
      </c>
      <c r="F18" s="25" t="inlineStr"/>
      <c r="G18" s="25" t="inlineStr"/>
      <c r="H18" s="25" t="inlineStr"/>
      <c r="I18" s="25" t="inlineStr"/>
      <c r="J18" s="25" t="inlineStr"/>
      <c r="K18" s="25" t="inlineStr"/>
      <c r="L18" s="25" t="inlineStr"/>
      <c r="M18" s="26" t="inlineStr"/>
      <c r="N18" s="26" t="inlineStr"/>
    </row>
    <row r="19">
      <c r="A19" s="28" t="inlineStr">
        <is>
          <t>8.1.4.1</t>
        </is>
      </c>
      <c r="B19" s="28" t="inlineStr">
        <is>
          <t>NACSA-8.1.4a</t>
        </is>
      </c>
      <c r="C19" s="28" t="inlineStr"/>
      <c r="D19" s="28" t="inlineStr"/>
      <c r="E19" s="28" t="inlineStr">
        <is>
          <t>The IT assets inventory shall be reviewed annually and / or whenever changes occur, such as the acquisition of a new sys...</t>
        </is>
      </c>
      <c r="F19" s="28"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19" s="28" t="inlineStr">
        <is>
          <t>Review report/minutes; Updated document post-review; Approval of changes</t>
        </is>
      </c>
      <c r="H19" s="28" t="inlineStr">
        <is>
          <t>Inspection</t>
        </is>
      </c>
      <c r="I19" s="28" t="inlineStr"/>
      <c r="J19" s="28" t="inlineStr"/>
      <c r="K19" s="28" t="inlineStr"/>
      <c r="L19" s="28" t="inlineStr"/>
      <c r="M19" s="28" t="inlineStr"/>
      <c r="N19" s="28" t="inlineStr"/>
    </row>
    <row r="20">
      <c r="A20" s="7" t="inlineStr">
        <is>
          <t>8.1.4.2</t>
        </is>
      </c>
      <c r="B20" s="7" t="inlineStr">
        <is>
          <t>NACSA-8.1.4b</t>
        </is>
      </c>
      <c r="C20" s="7" t="inlineStr"/>
      <c r="D20" s="7" t="inlineStr"/>
      <c r="E20" s="7" t="inlineStr">
        <is>
          <t>The review shall validate:
- Asset ownership
- Current status (in use, not in use, damaged, under maintenance, loaned, l...</t>
        </is>
      </c>
      <c r="F20" s="7" t="inlineStr">
        <is>
          <t>1. Request the asset register/CMDB extract.
2. Verify all NCII systems are included with required attributes.
3. Sample 15 assets — confirm data accuracy (owner, classification, status).
4. Check maintenance plan and review records.</t>
        </is>
      </c>
      <c r="G20" s="7" t="inlineStr">
        <is>
          <t>Asset register/CMDB; Asset classification records; Maintenance plan; Review records</t>
        </is>
      </c>
      <c r="H20" s="7" t="inlineStr">
        <is>
          <t>Inspection</t>
        </is>
      </c>
      <c r="I20" s="7" t="inlineStr"/>
      <c r="J20" s="7" t="inlineStr"/>
      <c r="K20" s="7" t="inlineStr"/>
      <c r="L20" s="7" t="inlineStr"/>
      <c r="M20" s="7" t="inlineStr"/>
      <c r="N20" s="7" t="inlineStr"/>
    </row>
    <row r="21">
      <c r="A21" s="25" t="inlineStr">
        <is>
          <t>8.2.1</t>
        </is>
      </c>
      <c r="B21" s="25" t="inlineStr">
        <is>
          <t>NACSA-8.2.1</t>
        </is>
      </c>
      <c r="C21" s="25" t="inlineStr">
        <is>
          <t>ORG</t>
        </is>
      </c>
      <c r="D21" s="25" t="inlineStr">
        <is>
          <t>Establishment of Capacity Management Plan</t>
        </is>
      </c>
      <c r="E21" s="25" t="inlineStr">
        <is>
          <t>Assess 1 mandatory requirement(s)</t>
        </is>
      </c>
      <c r="F21" s="25" t="inlineStr"/>
      <c r="G21" s="25" t="inlineStr"/>
      <c r="H21" s="25" t="inlineStr"/>
      <c r="I21" s="25" t="inlineStr"/>
      <c r="J21" s="25" t="inlineStr"/>
      <c r="K21" s="25" t="inlineStr"/>
      <c r="L21" s="25" t="inlineStr"/>
      <c r="M21" s="26" t="inlineStr"/>
      <c r="N21" s="26" t="inlineStr"/>
    </row>
    <row r="22">
      <c r="A22" s="28" t="inlineStr">
        <is>
          <t>8.2.1.1</t>
        </is>
      </c>
      <c r="B22" s="28" t="inlineStr">
        <is>
          <t>NACSA-8.2.1a</t>
        </is>
      </c>
      <c r="C22" s="28" t="inlineStr"/>
      <c r="D22" s="28" t="inlineStr"/>
      <c r="E22" s="28" t="inlineStr">
        <is>
          <t>The NCII entity shall establish a Capacity Management Plan that ensures the following:
- IT resources are adequate to me...</t>
        </is>
      </c>
      <c r="F22" s="28" t="inlineStr">
        <is>
          <t>1. Request the current plan document with approval records.
2. Verify it is formally approved by the governance committee or top management (check signatures, dates).
3. Confirm it addresses all elements specified in this clause.
4. Verify version control is maintained with change history.</t>
        </is>
      </c>
      <c r="G22" s="28" t="inlineStr">
        <is>
          <t>Approved policy/procedure document; Committee approval record; Version history</t>
        </is>
      </c>
      <c r="H22" s="28" t="inlineStr">
        <is>
          <t>Inspection</t>
        </is>
      </c>
      <c r="I22" s="28" t="inlineStr"/>
      <c r="J22" s="28" t="inlineStr"/>
      <c r="K22" s="28" t="inlineStr"/>
      <c r="L22" s="28" t="inlineStr"/>
      <c r="M22" s="28" t="inlineStr"/>
      <c r="N22" s="28" t="inlineStr"/>
    </row>
    <row r="23"/>
    <row r="24">
      <c r="A24" s="21" t="inlineStr">
        <is>
          <t>CoP 8.0 — Resource Allocation and Optimisation (System-Level: per NCII system)</t>
        </is>
      </c>
      <c r="B24" s="38" t="n"/>
      <c r="C24" s="38" t="n"/>
      <c r="D24" s="38" t="n"/>
      <c r="E24" s="38" t="n"/>
      <c r="F24" s="38" t="n"/>
      <c r="G24" s="38" t="n"/>
      <c r="H24" s="38" t="n"/>
      <c r="I24" s="38" t="n"/>
      <c r="J24" s="38" t="n"/>
      <c r="K24" s="38" t="n"/>
      <c r="L24" s="38" t="n"/>
      <c r="M24" s="38" t="n"/>
      <c r="N24" s="39" t="n"/>
    </row>
    <row r="25">
      <c r="A25" s="29" t="inlineStr">
        <is>
          <t>8.2.2</t>
        </is>
      </c>
      <c r="B25" s="29" t="inlineStr">
        <is>
          <t>NACSA-8.2.2-NCII-SYS-001</t>
        </is>
      </c>
      <c r="C25" s="29" t="inlineStr">
        <is>
          <t>SYSTEM</t>
        </is>
      </c>
      <c r="D25" s="29" t="inlineStr">
        <is>
          <t>Tracking and Monitoring Resource Utilisation</t>
        </is>
      </c>
      <c r="E25" s="29" t="inlineStr">
        <is>
          <t>[System 1]: Assess 1 mandatory requirement(s)</t>
        </is>
      </c>
      <c r="F25" s="29" t="inlineStr"/>
      <c r="G25" s="29" t="inlineStr"/>
      <c r="H25" s="29" t="inlineStr"/>
      <c r="I25" s="29" t="inlineStr"/>
      <c r="J25" s="29" t="inlineStr"/>
      <c r="K25" s="29" t="inlineStr"/>
      <c r="L25" s="29" t="inlineStr"/>
      <c r="M25" s="26" t="inlineStr"/>
      <c r="N25" s="26" t="inlineStr"/>
    </row>
    <row r="26">
      <c r="A26" s="7" t="inlineStr">
        <is>
          <t>8.2.2.1</t>
        </is>
      </c>
      <c r="B26" s="7" t="inlineStr">
        <is>
          <t>NACSA-8.2.2a-NCII-SYS-001</t>
        </is>
      </c>
      <c r="C26" s="7" t="inlineStr"/>
      <c r="D26" s="7" t="inlineStr"/>
      <c r="E26" s="7" t="inlineStr">
        <is>
          <t>[System 1]: IT support team shall continuously track and monitor the resource utilisation of the following:
- CP...</t>
        </is>
      </c>
      <c r="F26" s="7" t="inlineStr">
        <is>
          <t>1. Request the monitoring procedure/SMP.
2. Verify monitoring tools deployed (SIEM, IDPS, EDR).
3. Check log source coverage includes all NCII systems.
4. Review MTTD/MTTR KPI performance for the assessment period.</t>
        </is>
      </c>
      <c r="G26" s="7" t="inlineStr">
        <is>
          <t>Monitoring procedure; Tool deployment evidence; Log source inventory; KPI dashboard/reports</t>
        </is>
      </c>
      <c r="H26" s="7" t="inlineStr">
        <is>
          <t>Inspection</t>
        </is>
      </c>
      <c r="I26" s="7" t="inlineStr"/>
      <c r="J26" s="7" t="inlineStr"/>
      <c r="K26" s="7" t="inlineStr"/>
      <c r="L26" s="7" t="inlineStr"/>
      <c r="M26" s="7" t="inlineStr"/>
      <c r="N26" s="7" t="inlineStr"/>
    </row>
    <row r="27">
      <c r="A27" s="29" t="inlineStr">
        <is>
          <t>8.2.2</t>
        </is>
      </c>
      <c r="B27" s="29" t="inlineStr">
        <is>
          <t>NACSA-8.2.2-NCII-SYS-002</t>
        </is>
      </c>
      <c r="C27" s="29" t="inlineStr">
        <is>
          <t>SYSTEM</t>
        </is>
      </c>
      <c r="D27" s="29" t="inlineStr">
        <is>
          <t>Tracking and Monitoring Resource Utilisation</t>
        </is>
      </c>
      <c r="E27" s="29" t="inlineStr">
        <is>
          <t>[System 2]: Assess 1 mandatory requirement(s)</t>
        </is>
      </c>
      <c r="F27" s="29" t="inlineStr"/>
      <c r="G27" s="29" t="inlineStr"/>
      <c r="H27" s="29" t="inlineStr"/>
      <c r="I27" s="29" t="inlineStr"/>
      <c r="J27" s="29" t="inlineStr"/>
      <c r="K27" s="29" t="inlineStr"/>
      <c r="L27" s="29" t="inlineStr"/>
      <c r="M27" s="26" t="inlineStr"/>
      <c r="N27" s="26" t="inlineStr"/>
    </row>
    <row r="28">
      <c r="A28" s="28" t="inlineStr">
        <is>
          <t>8.2.2.1</t>
        </is>
      </c>
      <c r="B28" s="28" t="inlineStr">
        <is>
          <t>NACSA-8.2.2a-NCII-SYS-002</t>
        </is>
      </c>
      <c r="C28" s="28" t="inlineStr"/>
      <c r="D28" s="28" t="inlineStr"/>
      <c r="E28" s="28" t="inlineStr">
        <is>
          <t>[System 2]: IT support team shall continuously track and monitor the resource utilisation of the following:
- CP...</t>
        </is>
      </c>
      <c r="F28" s="28" t="inlineStr">
        <is>
          <t>1. Request the monitoring procedure/SMP.
2. Verify monitoring tools deployed (SIEM, IDPS, EDR).
3. Check log source coverage includes all NCII systems.
4. Review MTTD/MTTR KPI performance for the assessment period.</t>
        </is>
      </c>
      <c r="G28" s="28" t="inlineStr">
        <is>
          <t>Monitoring procedure; Tool deployment evidence; Log source inventory; KPI dashboard/reports</t>
        </is>
      </c>
      <c r="H28" s="28" t="inlineStr">
        <is>
          <t>Inspection</t>
        </is>
      </c>
      <c r="I28" s="28" t="inlineStr"/>
      <c r="J28" s="28" t="inlineStr"/>
      <c r="K28" s="28" t="inlineStr"/>
      <c r="L28" s="28" t="inlineStr"/>
      <c r="M28" s="28" t="inlineStr"/>
      <c r="N28" s="28" t="inlineStr"/>
    </row>
    <row r="29">
      <c r="A29" s="29" t="inlineStr">
        <is>
          <t>8.2.2</t>
        </is>
      </c>
      <c r="B29" s="29" t="inlineStr">
        <is>
          <t>NACSA-8.2.2-NCII-SYS-003</t>
        </is>
      </c>
      <c r="C29" s="29" t="inlineStr">
        <is>
          <t>SYSTEM</t>
        </is>
      </c>
      <c r="D29" s="29" t="inlineStr">
        <is>
          <t>Tracking and Monitoring Resource Utilisation</t>
        </is>
      </c>
      <c r="E29" s="29" t="inlineStr">
        <is>
          <t>[System 3]: Assess 1 mandatory requirement(s)</t>
        </is>
      </c>
      <c r="F29" s="29" t="inlineStr"/>
      <c r="G29" s="29" t="inlineStr"/>
      <c r="H29" s="29" t="inlineStr"/>
      <c r="I29" s="29" t="inlineStr"/>
      <c r="J29" s="29" t="inlineStr"/>
      <c r="K29" s="29" t="inlineStr"/>
      <c r="L29" s="29" t="inlineStr"/>
      <c r="M29" s="26" t="inlineStr"/>
      <c r="N29" s="26" t="inlineStr"/>
    </row>
    <row r="30">
      <c r="A30" s="7" t="inlineStr">
        <is>
          <t>8.2.2.1</t>
        </is>
      </c>
      <c r="B30" s="7" t="inlineStr">
        <is>
          <t>NACSA-8.2.2a-NCII-SYS-003</t>
        </is>
      </c>
      <c r="C30" s="7" t="inlineStr"/>
      <c r="D30" s="7" t="inlineStr"/>
      <c r="E30" s="7" t="inlineStr">
        <is>
          <t>[System 3]: IT support team shall continuously track and monitor the resource utilisation of the following:
- CP...</t>
        </is>
      </c>
      <c r="F30" s="7" t="inlineStr">
        <is>
          <t>1. Request the monitoring procedure/SMP.
2. Verify monitoring tools deployed (SIEM, IDPS, EDR).
3. Check log source coverage includes all NCII systems.
4. Review MTTD/MTTR KPI performance for the assessment period.</t>
        </is>
      </c>
      <c r="G30" s="7" t="inlineStr">
        <is>
          <t>Monitoring procedure; Tool deployment evidence; Log source inventory; KPI dashboard/reports</t>
        </is>
      </c>
      <c r="H30" s="7" t="inlineStr">
        <is>
          <t>Inspection</t>
        </is>
      </c>
      <c r="I30" s="7" t="inlineStr"/>
      <c r="J30" s="7" t="inlineStr"/>
      <c r="K30" s="7" t="inlineStr"/>
      <c r="L30" s="7" t="inlineStr"/>
      <c r="M30" s="7" t="inlineStr"/>
      <c r="N30" s="7" t="inlineStr"/>
    </row>
    <row r="31">
      <c r="A31" s="29" t="inlineStr">
        <is>
          <t>8.2.3</t>
        </is>
      </c>
      <c r="B31" s="29" t="inlineStr">
        <is>
          <t>NACSA-8.2.3-NCII-SYS-001</t>
        </is>
      </c>
      <c r="C31" s="29" t="inlineStr">
        <is>
          <t>SYSTEM</t>
        </is>
      </c>
      <c r="D31" s="29" t="inlineStr">
        <is>
          <t>Review and Forecasting</t>
        </is>
      </c>
      <c r="E31" s="29" t="inlineStr">
        <is>
          <t>[System 1]: Assess 2 mandatory requirement(s)</t>
        </is>
      </c>
      <c r="F31" s="29" t="inlineStr"/>
      <c r="G31" s="29" t="inlineStr"/>
      <c r="H31" s="29" t="inlineStr"/>
      <c r="I31" s="29" t="inlineStr"/>
      <c r="J31" s="29" t="inlineStr"/>
      <c r="K31" s="29" t="inlineStr"/>
      <c r="L31" s="29" t="inlineStr"/>
      <c r="M31" s="26" t="inlineStr"/>
      <c r="N31" s="26" t="inlineStr"/>
    </row>
    <row r="32">
      <c r="A32" s="28" t="inlineStr">
        <is>
          <t>8.2.3.1</t>
        </is>
      </c>
      <c r="B32" s="28" t="inlineStr">
        <is>
          <t>NACSA-8.2.3a-NCII-SYS-001</t>
        </is>
      </c>
      <c r="C32" s="28" t="inlineStr"/>
      <c r="D32" s="28" t="inlineStr"/>
      <c r="E32" s="28" t="inlineStr">
        <is>
          <t>[System 1]: Resource utilisation shall be reviewed annually, and forecasts shall be developed for:
- Future syst...</t>
        </is>
      </c>
      <c r="F32" s="28" t="inlineStr">
        <is>
          <t>1. Request evidence of the last review — meeting minutes, review report, or updated document with review date.
2. Verify review was conducted within the required period (annually or as specified).
3. Check that review outcomes are documented with any changes approved.
4. Confirm the review addressed current threats, regulatory changes, and lessons learned.</t>
        </is>
      </c>
      <c r="G32" s="28" t="inlineStr">
        <is>
          <t>Approved policy/procedure document; Committee approval record; Version history</t>
        </is>
      </c>
      <c r="H32" s="28" t="inlineStr">
        <is>
          <t>Inspection</t>
        </is>
      </c>
      <c r="I32" s="28" t="inlineStr"/>
      <c r="J32" s="28" t="inlineStr"/>
      <c r="K32" s="28" t="inlineStr"/>
      <c r="L32" s="28" t="inlineStr"/>
      <c r="M32" s="28" t="inlineStr"/>
      <c r="N32" s="28" t="inlineStr"/>
    </row>
    <row r="33">
      <c r="A33" s="7" t="inlineStr">
        <is>
          <t>8.2.3.2</t>
        </is>
      </c>
      <c r="B33" s="7" t="inlineStr">
        <is>
          <t>NACSA-8.2.3b-NCII-SYS-001</t>
        </is>
      </c>
      <c r="C33" s="7" t="inlineStr"/>
      <c r="D33" s="7" t="inlineStr"/>
      <c r="E33" s="7" t="inlineStr">
        <is>
          <t>[System 1]: Resource forecasting shall use historical data and predictive analytics to estimate future IT resour...</t>
        </is>
      </c>
      <c r="F33"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8.2.3.2.</t>
        </is>
      </c>
      <c r="G33" s="7" t="inlineStr">
        <is>
          <t>Relevant policy/procedure; Implementation evidence; Review/monitoring records</t>
        </is>
      </c>
      <c r="H33" s="7" t="inlineStr">
        <is>
          <t>Inspection</t>
        </is>
      </c>
      <c r="I33" s="7" t="inlineStr"/>
      <c r="J33" s="7" t="inlineStr"/>
      <c r="K33" s="7" t="inlineStr"/>
      <c r="L33" s="7" t="inlineStr"/>
      <c r="M33" s="7" t="inlineStr"/>
      <c r="N33" s="7" t="inlineStr"/>
    </row>
    <row r="34">
      <c r="A34" s="29" t="inlineStr">
        <is>
          <t>8.2.3</t>
        </is>
      </c>
      <c r="B34" s="29" t="inlineStr">
        <is>
          <t>NACSA-8.2.3-NCII-SYS-002</t>
        </is>
      </c>
      <c r="C34" s="29" t="inlineStr">
        <is>
          <t>SYSTEM</t>
        </is>
      </c>
      <c r="D34" s="29" t="inlineStr">
        <is>
          <t>Review and Forecasting</t>
        </is>
      </c>
      <c r="E34" s="29" t="inlineStr">
        <is>
          <t>[System 2]: Assess 2 mandatory requirement(s)</t>
        </is>
      </c>
      <c r="F34" s="29" t="inlineStr"/>
      <c r="G34" s="29" t="inlineStr"/>
      <c r="H34" s="29" t="inlineStr"/>
      <c r="I34" s="29" t="inlineStr"/>
      <c r="J34" s="29" t="inlineStr"/>
      <c r="K34" s="29" t="inlineStr"/>
      <c r="L34" s="29" t="inlineStr"/>
      <c r="M34" s="26" t="inlineStr"/>
      <c r="N34" s="26" t="inlineStr"/>
    </row>
    <row r="35">
      <c r="A35" s="28" t="inlineStr">
        <is>
          <t>8.2.3.1</t>
        </is>
      </c>
      <c r="B35" s="28" t="inlineStr">
        <is>
          <t>NACSA-8.2.3a-NCII-SYS-002</t>
        </is>
      </c>
      <c r="C35" s="28" t="inlineStr"/>
      <c r="D35" s="28" t="inlineStr"/>
      <c r="E35" s="28" t="inlineStr">
        <is>
          <t>[System 2]: Resource utilisation shall be reviewed annually, and forecasts shall be developed for:
- Future syst...</t>
        </is>
      </c>
      <c r="F35" s="28" t="inlineStr">
        <is>
          <t>1. Request evidence of the last review — meeting minutes, review report, or updated document with review date.
2. Verify review was conducted within the required period (annually or as specified).
3. Check that review outcomes are documented with any changes approved.
4. Confirm the review addressed current threats, regulatory changes, and lessons learned.</t>
        </is>
      </c>
      <c r="G35" s="28" t="inlineStr">
        <is>
          <t>Approved policy/procedure document; Committee approval record; Version history</t>
        </is>
      </c>
      <c r="H35" s="28" t="inlineStr">
        <is>
          <t>Inspection</t>
        </is>
      </c>
      <c r="I35" s="28" t="inlineStr"/>
      <c r="J35" s="28" t="inlineStr"/>
      <c r="K35" s="28" t="inlineStr"/>
      <c r="L35" s="28" t="inlineStr"/>
      <c r="M35" s="28" t="inlineStr"/>
      <c r="N35" s="28" t="inlineStr"/>
    </row>
    <row r="36">
      <c r="A36" s="7" t="inlineStr">
        <is>
          <t>8.2.3.2</t>
        </is>
      </c>
      <c r="B36" s="7" t="inlineStr">
        <is>
          <t>NACSA-8.2.3b-NCII-SYS-002</t>
        </is>
      </c>
      <c r="C36" s="7" t="inlineStr"/>
      <c r="D36" s="7" t="inlineStr"/>
      <c r="E36" s="7" t="inlineStr">
        <is>
          <t>[System 2]: Resource forecasting shall use historical data and predictive analytics to estimate future IT resour...</t>
        </is>
      </c>
      <c r="F36"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8.2.3.2.</t>
        </is>
      </c>
      <c r="G36" s="7" t="inlineStr">
        <is>
          <t>Relevant policy/procedure; Implementation evidence; Review/monitoring records</t>
        </is>
      </c>
      <c r="H36" s="7" t="inlineStr">
        <is>
          <t>Inspection</t>
        </is>
      </c>
      <c r="I36" s="7" t="inlineStr"/>
      <c r="J36" s="7" t="inlineStr"/>
      <c r="K36" s="7" t="inlineStr"/>
      <c r="L36" s="7" t="inlineStr"/>
      <c r="M36" s="7" t="inlineStr"/>
      <c r="N36" s="7" t="inlineStr"/>
    </row>
    <row r="37">
      <c r="A37" s="29" t="inlineStr">
        <is>
          <t>8.2.3</t>
        </is>
      </c>
      <c r="B37" s="29" t="inlineStr">
        <is>
          <t>NACSA-8.2.3-NCII-SYS-003</t>
        </is>
      </c>
      <c r="C37" s="29" t="inlineStr">
        <is>
          <t>SYSTEM</t>
        </is>
      </c>
      <c r="D37" s="29" t="inlineStr">
        <is>
          <t>Review and Forecasting</t>
        </is>
      </c>
      <c r="E37" s="29" t="inlineStr">
        <is>
          <t>[System 3]: Assess 2 mandatory requirement(s)</t>
        </is>
      </c>
      <c r="F37" s="29" t="inlineStr"/>
      <c r="G37" s="29" t="inlineStr"/>
      <c r="H37" s="29" t="inlineStr"/>
      <c r="I37" s="29" t="inlineStr"/>
      <c r="J37" s="29" t="inlineStr"/>
      <c r="K37" s="29" t="inlineStr"/>
      <c r="L37" s="29" t="inlineStr"/>
      <c r="M37" s="26" t="inlineStr"/>
      <c r="N37" s="26" t="inlineStr"/>
    </row>
    <row r="38">
      <c r="A38" s="28" t="inlineStr">
        <is>
          <t>8.2.3.1</t>
        </is>
      </c>
      <c r="B38" s="28" t="inlineStr">
        <is>
          <t>NACSA-8.2.3a-NCII-SYS-003</t>
        </is>
      </c>
      <c r="C38" s="28" t="inlineStr"/>
      <c r="D38" s="28" t="inlineStr"/>
      <c r="E38" s="28" t="inlineStr">
        <is>
          <t>[System 3]: Resource utilisation shall be reviewed annually, and forecasts shall be developed for:
- Future syst...</t>
        </is>
      </c>
      <c r="F38" s="28" t="inlineStr">
        <is>
          <t>1. Request evidence of the last review — meeting minutes, review report, or updated document with review date.
2. Verify review was conducted within the required period (annually or as specified).
3. Check that review outcomes are documented with any changes approved.
4. Confirm the review addressed current threats, regulatory changes, and lessons learned.</t>
        </is>
      </c>
      <c r="G38" s="28" t="inlineStr">
        <is>
          <t>Approved policy/procedure document; Committee approval record; Version history</t>
        </is>
      </c>
      <c r="H38" s="28" t="inlineStr">
        <is>
          <t>Inspection</t>
        </is>
      </c>
      <c r="I38" s="28" t="inlineStr"/>
      <c r="J38" s="28" t="inlineStr"/>
      <c r="K38" s="28" t="inlineStr"/>
      <c r="L38" s="28" t="inlineStr"/>
      <c r="M38" s="28" t="inlineStr"/>
      <c r="N38" s="28" t="inlineStr"/>
    </row>
    <row r="39">
      <c r="A39" s="7" t="inlineStr">
        <is>
          <t>8.2.3.2</t>
        </is>
      </c>
      <c r="B39" s="7" t="inlineStr">
        <is>
          <t>NACSA-8.2.3b-NCII-SYS-003</t>
        </is>
      </c>
      <c r="C39" s="7" t="inlineStr"/>
      <c r="D39" s="7" t="inlineStr"/>
      <c r="E39" s="7" t="inlineStr">
        <is>
          <t>[System 3]: Resource forecasting shall use historical data and predictive analytics to estimate future IT resour...</t>
        </is>
      </c>
      <c r="F39"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8.2.3.2.</t>
        </is>
      </c>
      <c r="G39" s="7" t="inlineStr">
        <is>
          <t>Relevant policy/procedure; Implementation evidence; Review/monitoring records</t>
        </is>
      </c>
      <c r="H39" s="7" t="inlineStr">
        <is>
          <t>Inspection</t>
        </is>
      </c>
      <c r="I39" s="7" t="inlineStr"/>
      <c r="J39" s="7" t="inlineStr"/>
      <c r="K39" s="7" t="inlineStr"/>
      <c r="L39" s="7" t="inlineStr"/>
      <c r="M39" s="7" t="inlineStr"/>
      <c r="N39" s="7" t="inlineStr"/>
    </row>
    <row r="40">
      <c r="A40" s="29" t="inlineStr">
        <is>
          <t>8.2.4</t>
        </is>
      </c>
      <c r="B40" s="29" t="inlineStr">
        <is>
          <t>NACSA-8.2.4-NCII-SYS-001</t>
        </is>
      </c>
      <c r="C40" s="29" t="inlineStr">
        <is>
          <t>SYSTEM</t>
        </is>
      </c>
      <c r="D40" s="29" t="inlineStr">
        <is>
          <t>Performance Tests</t>
        </is>
      </c>
      <c r="E40" s="29" t="inlineStr">
        <is>
          <t>[System 1]: Assess 2 mandatory requirement(s)</t>
        </is>
      </c>
      <c r="F40" s="29" t="inlineStr"/>
      <c r="G40" s="29" t="inlineStr"/>
      <c r="H40" s="29" t="inlineStr"/>
      <c r="I40" s="29" t="inlineStr"/>
      <c r="J40" s="29" t="inlineStr"/>
      <c r="K40" s="29" t="inlineStr"/>
      <c r="L40" s="29" t="inlineStr"/>
      <c r="M40" s="26" t="inlineStr"/>
      <c r="N40" s="26" t="inlineStr"/>
    </row>
    <row r="41">
      <c r="A41" s="28" t="inlineStr">
        <is>
          <t>8.2.4.1</t>
        </is>
      </c>
      <c r="B41" s="28" t="inlineStr">
        <is>
          <t>NACSA-8.2.4a-NCII-SYS-001</t>
        </is>
      </c>
      <c r="C41" s="28" t="inlineStr"/>
      <c r="D41" s="28" t="inlineStr"/>
      <c r="E41" s="28" t="inlineStr">
        <is>
          <t>[System 1]: Performance testing shall be conducted prior to system go-live or whenever required, including after...</t>
        </is>
      </c>
      <c r="F41" s="28" t="inlineStr">
        <is>
          <t>1. Request the most recent audit/assessment report.
2. Verify it was conducted by an approved/qualified party.
3. Confirm submission to CE NACSA within required timeframe.
4. Check that findings are tracked with remediation plans.</t>
        </is>
      </c>
      <c r="G41" s="28" t="inlineStr">
        <is>
          <t>Audit/assessment report; Assessor qualifications/approval; CE submission confirmation; Remediation tracker</t>
        </is>
      </c>
      <c r="H41" s="28" t="inlineStr">
        <is>
          <t>Inspection</t>
        </is>
      </c>
      <c r="I41" s="28" t="inlineStr"/>
      <c r="J41" s="28" t="inlineStr"/>
      <c r="K41" s="28" t="inlineStr"/>
      <c r="L41" s="28" t="inlineStr"/>
      <c r="M41" s="28" t="inlineStr"/>
      <c r="N41" s="28" t="inlineStr"/>
    </row>
    <row r="42">
      <c r="A42" s="7" t="inlineStr">
        <is>
          <t>8.2.4.2</t>
        </is>
      </c>
      <c r="B42" s="7" t="inlineStr">
        <is>
          <t>NACSA-8.2.4b-NCII-SYS-001</t>
        </is>
      </c>
      <c r="C42" s="7" t="inlineStr"/>
      <c r="D42" s="7" t="inlineStr"/>
      <c r="E42" s="7" t="inlineStr">
        <is>
          <t>[System 1]: Performance tests shall simulate:
- High traffic surges (peak demand periods).
- Data processing loa...</t>
        </is>
      </c>
      <c r="F42" s="7" t="inlineStr">
        <is>
          <t>1. Request capacity management plan or monitoring procedure.
2. Verify resource utilisation monitoring covers CPU, memory, network, disk.
3. Check alerting thresholds and escalation procedures.
4. Review forecasting data and performance test results.</t>
        </is>
      </c>
      <c r="G42" s="7" t="inlineStr">
        <is>
          <t>Capacity management plan; Monitoring dashboards; Alert configuration; Performance test results</t>
        </is>
      </c>
      <c r="H42" s="7" t="inlineStr">
        <is>
          <t>Inspection</t>
        </is>
      </c>
      <c r="I42" s="7" t="inlineStr"/>
      <c r="J42" s="7" t="inlineStr"/>
      <c r="K42" s="7" t="inlineStr"/>
      <c r="L42" s="7" t="inlineStr"/>
      <c r="M42" s="7" t="inlineStr"/>
      <c r="N42" s="7" t="inlineStr"/>
    </row>
    <row r="43">
      <c r="A43" s="29" t="inlineStr">
        <is>
          <t>8.2.4</t>
        </is>
      </c>
      <c r="B43" s="29" t="inlineStr">
        <is>
          <t>NACSA-8.2.4-NCII-SYS-002</t>
        </is>
      </c>
      <c r="C43" s="29" t="inlineStr">
        <is>
          <t>SYSTEM</t>
        </is>
      </c>
      <c r="D43" s="29" t="inlineStr">
        <is>
          <t>Performance Tests</t>
        </is>
      </c>
      <c r="E43" s="29" t="inlineStr">
        <is>
          <t>[System 2]: Assess 2 mandatory requirement(s)</t>
        </is>
      </c>
      <c r="F43" s="29" t="inlineStr"/>
      <c r="G43" s="29" t="inlineStr"/>
      <c r="H43" s="29" t="inlineStr"/>
      <c r="I43" s="29" t="inlineStr"/>
      <c r="J43" s="29" t="inlineStr"/>
      <c r="K43" s="29" t="inlineStr"/>
      <c r="L43" s="29" t="inlineStr"/>
      <c r="M43" s="26" t="inlineStr"/>
      <c r="N43" s="26" t="inlineStr"/>
    </row>
    <row r="44">
      <c r="A44" s="28" t="inlineStr">
        <is>
          <t>8.2.4.1</t>
        </is>
      </c>
      <c r="B44" s="28" t="inlineStr">
        <is>
          <t>NACSA-8.2.4a-NCII-SYS-002</t>
        </is>
      </c>
      <c r="C44" s="28" t="inlineStr"/>
      <c r="D44" s="28" t="inlineStr"/>
      <c r="E44" s="28" t="inlineStr">
        <is>
          <t>[System 2]: Performance testing shall be conducted prior to system go-live or whenever required, including after...</t>
        </is>
      </c>
      <c r="F44" s="28" t="inlineStr">
        <is>
          <t>1. Request the most recent audit/assessment report.
2. Verify it was conducted by an approved/qualified party.
3. Confirm submission to CE NACSA within required timeframe.
4. Check that findings are tracked with remediation plans.</t>
        </is>
      </c>
      <c r="G44" s="28" t="inlineStr">
        <is>
          <t>Audit/assessment report; Assessor qualifications/approval; CE submission confirmation; Remediation tracker</t>
        </is>
      </c>
      <c r="H44" s="28" t="inlineStr">
        <is>
          <t>Inspection</t>
        </is>
      </c>
      <c r="I44" s="28" t="inlineStr"/>
      <c r="J44" s="28" t="inlineStr"/>
      <c r="K44" s="28" t="inlineStr"/>
      <c r="L44" s="28" t="inlineStr"/>
      <c r="M44" s="28" t="inlineStr"/>
      <c r="N44" s="28" t="inlineStr"/>
    </row>
    <row r="45">
      <c r="A45" s="7" t="inlineStr">
        <is>
          <t>8.2.4.2</t>
        </is>
      </c>
      <c r="B45" s="7" t="inlineStr">
        <is>
          <t>NACSA-8.2.4b-NCII-SYS-002</t>
        </is>
      </c>
      <c r="C45" s="7" t="inlineStr"/>
      <c r="D45" s="7" t="inlineStr"/>
      <c r="E45" s="7" t="inlineStr">
        <is>
          <t>[System 2]: Performance tests shall simulate:
- High traffic surges (peak demand periods).
- Data processing loa...</t>
        </is>
      </c>
      <c r="F45" s="7" t="inlineStr">
        <is>
          <t>1. Request capacity management plan or monitoring procedure.
2. Verify resource utilisation monitoring covers CPU, memory, network, disk.
3. Check alerting thresholds and escalation procedures.
4. Review forecasting data and performance test results.</t>
        </is>
      </c>
      <c r="G45" s="7" t="inlineStr">
        <is>
          <t>Capacity management plan; Monitoring dashboards; Alert configuration; Performance test results</t>
        </is>
      </c>
      <c r="H45" s="7" t="inlineStr">
        <is>
          <t>Inspection</t>
        </is>
      </c>
      <c r="I45" s="7" t="inlineStr"/>
      <c r="J45" s="7" t="inlineStr"/>
      <c r="K45" s="7" t="inlineStr"/>
      <c r="L45" s="7" t="inlineStr"/>
      <c r="M45" s="7" t="inlineStr"/>
      <c r="N45" s="7" t="inlineStr"/>
    </row>
    <row r="46">
      <c r="A46" s="29" t="inlineStr">
        <is>
          <t>8.2.4</t>
        </is>
      </c>
      <c r="B46" s="29" t="inlineStr">
        <is>
          <t>NACSA-8.2.4-NCII-SYS-003</t>
        </is>
      </c>
      <c r="C46" s="29" t="inlineStr">
        <is>
          <t>SYSTEM</t>
        </is>
      </c>
      <c r="D46" s="29" t="inlineStr">
        <is>
          <t>Performance Tests</t>
        </is>
      </c>
      <c r="E46" s="29" t="inlineStr">
        <is>
          <t>[System 3]: Assess 2 mandatory requirement(s)</t>
        </is>
      </c>
      <c r="F46" s="29" t="inlineStr"/>
      <c r="G46" s="29" t="inlineStr"/>
      <c r="H46" s="29" t="inlineStr"/>
      <c r="I46" s="29" t="inlineStr"/>
      <c r="J46" s="29" t="inlineStr"/>
      <c r="K46" s="29" t="inlineStr"/>
      <c r="L46" s="29" t="inlineStr"/>
      <c r="M46" s="26" t="inlineStr"/>
      <c r="N46" s="26" t="inlineStr"/>
    </row>
    <row r="47">
      <c r="A47" s="28" t="inlineStr">
        <is>
          <t>8.2.4.1</t>
        </is>
      </c>
      <c r="B47" s="28" t="inlineStr">
        <is>
          <t>NACSA-8.2.4a-NCII-SYS-003</t>
        </is>
      </c>
      <c r="C47" s="28" t="inlineStr"/>
      <c r="D47" s="28" t="inlineStr"/>
      <c r="E47" s="28" t="inlineStr">
        <is>
          <t>[System 3]: Performance testing shall be conducted prior to system go-live or whenever required, including after...</t>
        </is>
      </c>
      <c r="F47" s="28" t="inlineStr">
        <is>
          <t>1. Request the most recent audit/assessment report.
2. Verify it was conducted by an approved/qualified party.
3. Confirm submission to CE NACSA within required timeframe.
4. Check that findings are tracked with remediation plans.</t>
        </is>
      </c>
      <c r="G47" s="28" t="inlineStr">
        <is>
          <t>Audit/assessment report; Assessor qualifications/approval; CE submission confirmation; Remediation tracker</t>
        </is>
      </c>
      <c r="H47" s="28" t="inlineStr">
        <is>
          <t>Inspection</t>
        </is>
      </c>
      <c r="I47" s="28" t="inlineStr"/>
      <c r="J47" s="28" t="inlineStr"/>
      <c r="K47" s="28" t="inlineStr"/>
      <c r="L47" s="28" t="inlineStr"/>
      <c r="M47" s="28" t="inlineStr"/>
      <c r="N47" s="28" t="inlineStr"/>
    </row>
    <row r="48">
      <c r="A48" s="7" t="inlineStr">
        <is>
          <t>8.2.4.2</t>
        </is>
      </c>
      <c r="B48" s="7" t="inlineStr">
        <is>
          <t>NACSA-8.2.4b-NCII-SYS-003</t>
        </is>
      </c>
      <c r="C48" s="7" t="inlineStr"/>
      <c r="D48" s="7" t="inlineStr"/>
      <c r="E48" s="7" t="inlineStr">
        <is>
          <t>[System 3]: Performance tests shall simulate:
- High traffic surges (peak demand periods).
- Data processing loa...</t>
        </is>
      </c>
      <c r="F48" s="7" t="inlineStr">
        <is>
          <t>1. Request capacity management plan or monitoring procedure.
2. Verify resource utilisation monitoring covers CPU, memory, network, disk.
3. Check alerting thresholds and escalation procedures.
4. Review forecasting data and performance test results.</t>
        </is>
      </c>
      <c r="G48" s="7" t="inlineStr">
        <is>
          <t>Capacity management plan; Monitoring dashboards; Alert configuration; Performance test results</t>
        </is>
      </c>
      <c r="H48" s="7" t="inlineStr">
        <is>
          <t>Inspection</t>
        </is>
      </c>
      <c r="I48" s="7" t="inlineStr"/>
      <c r="J48" s="7" t="inlineStr"/>
      <c r="K48" s="7" t="inlineStr"/>
      <c r="L48" s="7" t="inlineStr"/>
      <c r="M48" s="7" t="inlineStr"/>
      <c r="N48" s="7" t="inlineStr"/>
    </row>
  </sheetData>
  <mergeCells count="3">
    <mergeCell ref="A3:N3"/>
    <mergeCell ref="A24:N24"/>
    <mergeCell ref="A2:N2"/>
  </mergeCells>
  <conditionalFormatting sqref="M4:M49">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48"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9.0 — Risk Management (Organisation-Level)</t>
        </is>
      </c>
      <c r="B2" s="38" t="n"/>
      <c r="C2" s="38" t="n"/>
      <c r="D2" s="38" t="n"/>
      <c r="E2" s="38" t="n"/>
      <c r="F2" s="38" t="n"/>
      <c r="G2" s="38" t="n"/>
      <c r="H2" s="38" t="n"/>
      <c r="I2" s="38" t="n"/>
      <c r="J2" s="38" t="n"/>
      <c r="K2" s="38" t="n"/>
      <c r="L2" s="38" t="n"/>
      <c r="M2" s="38" t="n"/>
      <c r="N2" s="39" t="n"/>
    </row>
    <row r="3" ht="60" customHeight="1">
      <c r="A3" s="23" t="inlineStr">
        <is>
          <t>WHY: Risk assessment is mandatory annually under P.U.(A) 219/2024 (s21). It drives control prioritisation — without it, the entity is guessing which threats matter most.
WHAT GOOD LOOKS LIKE: Documented RA methodology aligned to ISO 27005/NIST 800-30, annual RA covering all NCII, submitted to CE within 30 days, risk treatment plan approved by governance committee, residual risk accepted.
KEY RISK IF ABSENT: s21 non-compliance (RM500,000 / 10 years), uninformed control investment, unidentified critical risks.</t>
        </is>
      </c>
      <c r="B3" s="38" t="n"/>
      <c r="C3" s="38" t="n"/>
      <c r="D3" s="38" t="n"/>
      <c r="E3" s="38" t="n"/>
      <c r="F3" s="38" t="n"/>
      <c r="G3" s="38" t="n"/>
      <c r="H3" s="38" t="n"/>
      <c r="I3" s="38" t="n"/>
      <c r="J3" s="38" t="n"/>
      <c r="K3" s="38" t="n"/>
      <c r="L3" s="38" t="n"/>
      <c r="M3" s="38" t="n"/>
      <c r="N3" s="39" t="n"/>
    </row>
    <row r="4">
      <c r="A4" s="25" t="inlineStr">
        <is>
          <t>9.1.1</t>
        </is>
      </c>
      <c r="B4" s="25" t="inlineStr">
        <is>
          <t>NACSA-9.1.1</t>
        </is>
      </c>
      <c r="C4" s="25" t="inlineStr">
        <is>
          <t>ORG</t>
        </is>
      </c>
      <c r="D4" s="25" t="inlineStr">
        <is>
          <t>Establishment of Cyber Security Risk Assessment Process</t>
        </is>
      </c>
      <c r="E4" s="25" t="inlineStr">
        <is>
          <t>Assess 2 mandatory requirement(s)</t>
        </is>
      </c>
      <c r="F4" s="25" t="inlineStr"/>
      <c r="G4" s="25" t="inlineStr"/>
      <c r="H4" s="25" t="inlineStr"/>
      <c r="I4" s="25" t="inlineStr"/>
      <c r="J4" s="25" t="inlineStr"/>
      <c r="K4" s="25" t="inlineStr"/>
      <c r="L4" s="25" t="inlineStr"/>
      <c r="M4" s="26" t="inlineStr"/>
      <c r="N4" s="26" t="inlineStr"/>
    </row>
    <row r="5">
      <c r="A5" s="7" t="inlineStr">
        <is>
          <t>9.1.1.1</t>
        </is>
      </c>
      <c r="B5" s="7" t="inlineStr">
        <is>
          <t>NACSA-9.1.1a</t>
        </is>
      </c>
      <c r="C5" s="7" t="inlineStr"/>
      <c r="D5" s="7" t="inlineStr"/>
      <c r="E5" s="7" t="inlineStr">
        <is>
          <t>The NCII entity shall establish a cyber security risk assessment process to support informed decision-making and the man...</t>
        </is>
      </c>
      <c r="F5" s="7" t="inlineStr">
        <is>
          <t>1. Request the risk assessment report (dated within the last 12 months per s21).
2. Verify it covers all NCII systems in scope.
3. Check the methodology follows NACSA's ISRM Toolkit or equivalent (5x5 matrix, asset/threat/vulnerability identification).
4. Verify CE submission confirmation within 30-day deadline.</t>
        </is>
      </c>
      <c r="G5" s="7" t="inlineStr">
        <is>
          <t>Approved policy/procedure document; Committee approval record; Version history</t>
        </is>
      </c>
      <c r="H5" s="7" t="inlineStr">
        <is>
          <t>Inspection</t>
        </is>
      </c>
      <c r="I5" s="7" t="inlineStr"/>
      <c r="J5" s="7" t="inlineStr"/>
      <c r="K5" s="7" t="inlineStr"/>
      <c r="L5" s="7" t="inlineStr"/>
      <c r="M5" s="7" t="inlineStr"/>
      <c r="N5" s="7" t="inlineStr"/>
    </row>
    <row r="6">
      <c r="A6" s="28" t="inlineStr">
        <is>
          <t>9.1.1.2</t>
        </is>
      </c>
      <c r="B6" s="28" t="inlineStr">
        <is>
          <t>NACSA-9.1.1b</t>
        </is>
      </c>
      <c r="C6" s="28" t="inlineStr"/>
      <c r="D6" s="28" t="inlineStr"/>
      <c r="E6" s="28" t="inlineStr">
        <is>
          <t>The process shall be formally documented and integrated into the NCII entity's governance framework.</t>
        </is>
      </c>
      <c r="F6"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9.1.1.2.</t>
        </is>
      </c>
      <c r="G6" s="28" t="inlineStr">
        <is>
          <t>Relevant policy/procedure; Implementation evidence; Review/monitoring records</t>
        </is>
      </c>
      <c r="H6" s="28" t="inlineStr">
        <is>
          <t>Inspection</t>
        </is>
      </c>
      <c r="I6" s="28" t="inlineStr"/>
      <c r="J6" s="28" t="inlineStr"/>
      <c r="K6" s="28" t="inlineStr"/>
      <c r="L6" s="28" t="inlineStr"/>
      <c r="M6" s="28" t="inlineStr"/>
      <c r="N6" s="28" t="inlineStr"/>
    </row>
    <row r="7">
      <c r="A7" s="25" t="inlineStr">
        <is>
          <t>9.1.2</t>
        </is>
      </c>
      <c r="B7" s="25" t="inlineStr">
        <is>
          <t>NACSA-9.1.2</t>
        </is>
      </c>
      <c r="C7" s="25" t="inlineStr">
        <is>
          <t>ORG</t>
        </is>
      </c>
      <c r="D7" s="25" t="inlineStr">
        <is>
          <t>Alignment with Best Practices</t>
        </is>
      </c>
      <c r="E7" s="25" t="inlineStr">
        <is>
          <t>Assess 2 mandatory requirement(s)</t>
        </is>
      </c>
      <c r="F7" s="25" t="inlineStr"/>
      <c r="G7" s="25" t="inlineStr"/>
      <c r="H7" s="25" t="inlineStr"/>
      <c r="I7" s="25" t="inlineStr"/>
      <c r="J7" s="25" t="inlineStr"/>
      <c r="K7" s="25" t="inlineStr"/>
      <c r="L7" s="25" t="inlineStr"/>
      <c r="M7" s="26" t="inlineStr"/>
      <c r="N7" s="26" t="inlineStr"/>
    </row>
    <row r="8">
      <c r="A8" s="7" t="inlineStr">
        <is>
          <t>9.1.2.1</t>
        </is>
      </c>
      <c r="B8" s="7" t="inlineStr">
        <is>
          <t>NACSA-9.1.2a</t>
        </is>
      </c>
      <c r="C8" s="7" t="inlineStr"/>
      <c r="D8" s="7" t="inlineStr"/>
      <c r="E8" s="7" t="inlineStr">
        <is>
          <t>The cyber security risk assessment process shall align with industry best practices (ISO 27001, NIST 800-53, Information...</t>
        </is>
      </c>
      <c r="F8" s="7" t="inlineStr">
        <is>
          <t>1. Request the most recent audit/assessment report.
2. Verify it was conducted by an approved/qualified party.
3. Confirm submission to CE NACSA within required timeframe.
4. Check that findings are tracked with remediation plans.</t>
        </is>
      </c>
      <c r="G8" s="7" t="inlineStr">
        <is>
          <t>Audit/assessment report; Assessor qualifications/approval; CE submission confirmation; Remediation tracker</t>
        </is>
      </c>
      <c r="H8" s="7" t="inlineStr">
        <is>
          <t>Inspection</t>
        </is>
      </c>
      <c r="I8" s="7" t="inlineStr"/>
      <c r="J8" s="7" t="inlineStr"/>
      <c r="K8" s="7" t="inlineStr"/>
      <c r="L8" s="7" t="inlineStr"/>
      <c r="M8" s="7" t="inlineStr"/>
      <c r="N8" s="7" t="inlineStr"/>
    </row>
    <row r="9">
      <c r="A9" s="28" t="inlineStr">
        <is>
          <t>9.1.2.2</t>
        </is>
      </c>
      <c r="B9" s="28" t="inlineStr">
        <is>
          <t>NACSA-9.1.2b</t>
        </is>
      </c>
      <c r="C9" s="28" t="inlineStr"/>
      <c r="D9" s="28" t="inlineStr"/>
      <c r="E9" s="28" t="inlineStr">
        <is>
          <t>The NCII entity shall adopt recognised methodologies for risk evaluation and mitigation.</t>
        </is>
      </c>
      <c r="F9" s="28" t="inlineStr">
        <is>
          <t>1. Request the risk assessment methodology and most recent report.
2. Verify scope includes all NCII systems.
3. Confirm risk identification, analysis, and evaluation steps documented.
4. Check risk register is current with treatment plans.</t>
        </is>
      </c>
      <c r="G9" s="28" t="inlineStr">
        <is>
          <t>Risk assessment methodology; Risk assessment report; Risk register; Risk treatment plan</t>
        </is>
      </c>
      <c r="H9" s="28" t="inlineStr">
        <is>
          <t>Inspection</t>
        </is>
      </c>
      <c r="I9" s="28" t="inlineStr"/>
      <c r="J9" s="28" t="inlineStr"/>
      <c r="K9" s="28" t="inlineStr"/>
      <c r="L9" s="28" t="inlineStr"/>
      <c r="M9" s="28" t="inlineStr"/>
      <c r="N9" s="28" t="inlineStr"/>
    </row>
    <row r="10">
      <c r="A10" s="25" t="inlineStr">
        <is>
          <t>9.1.3</t>
        </is>
      </c>
      <c r="B10" s="25" t="inlineStr">
        <is>
          <t>NACSA-9.1.3</t>
        </is>
      </c>
      <c r="C10" s="25" t="inlineStr">
        <is>
          <t>ORG</t>
        </is>
      </c>
      <c r="D10" s="25" t="inlineStr">
        <is>
          <t>Conducting Assessments</t>
        </is>
      </c>
      <c r="E10" s="25" t="inlineStr">
        <is>
          <t>Assess 3 mandatory requirement(s)</t>
        </is>
      </c>
      <c r="F10" s="25" t="inlineStr"/>
      <c r="G10" s="25" t="inlineStr"/>
      <c r="H10" s="25" t="inlineStr"/>
      <c r="I10" s="25" t="inlineStr"/>
      <c r="J10" s="25" t="inlineStr"/>
      <c r="K10" s="25" t="inlineStr"/>
      <c r="L10" s="25" t="inlineStr"/>
      <c r="M10" s="26" t="inlineStr"/>
      <c r="N10" s="26" t="inlineStr"/>
    </row>
    <row r="11">
      <c r="A11" s="7" t="inlineStr">
        <is>
          <t>9.1.3.1</t>
        </is>
      </c>
      <c r="B11" s="7" t="inlineStr">
        <is>
          <t>NACSA-9.1.3a</t>
        </is>
      </c>
      <c r="C11" s="7" t="inlineStr"/>
      <c r="D11" s="7" t="inlineStr"/>
      <c r="E11" s="7" t="inlineStr">
        <is>
          <t>Cyber security risk assessments shall be conducted annually commencing from the date of designation as NCII entity as st...</t>
        </is>
      </c>
      <c r="F11" s="7" t="inlineStr">
        <is>
          <t>1. Request the most recent audit/assessment report.
2. Verify it was conducted by an approved/qualified party.
3. Confirm submission to CE NACSA within required timeframe.
4. Check that findings are tracked with remediation plans.</t>
        </is>
      </c>
      <c r="G11" s="7" t="inlineStr">
        <is>
          <t>Audit/assessment report; Assessor qualifications/approval; CE submission confirmation; Remediation tracker</t>
        </is>
      </c>
      <c r="H11" s="7" t="inlineStr">
        <is>
          <t>Inspection</t>
        </is>
      </c>
      <c r="I11" s="7" t="inlineStr"/>
      <c r="J11" s="7" t="inlineStr"/>
      <c r="K11" s="7" t="inlineStr"/>
      <c r="L11" s="7" t="inlineStr"/>
      <c r="M11" s="7" t="inlineStr"/>
      <c r="N11" s="7" t="inlineStr"/>
    </row>
    <row r="12">
      <c r="A12" s="28" t="inlineStr">
        <is>
          <t>9.1.3.2</t>
        </is>
      </c>
      <c r="B12" s="28" t="inlineStr">
        <is>
          <t>NACSA-9.1.3b</t>
        </is>
      </c>
      <c r="C12" s="28" t="inlineStr"/>
      <c r="D12" s="28" t="inlineStr"/>
      <c r="E12" s="28" t="inlineStr">
        <is>
          <t>The scope of the cyber security risk assessment conducted shall include an assessment of risks to the computer or comput...</t>
        </is>
      </c>
      <c r="F12" s="28" t="inlineStr">
        <is>
          <t>1. Request the most recent audit/assessment report.
2. Verify it was conducted by an approved/qualified party.
3. Confirm submission to CE NACSA within required timeframe.
4. Check that findings are tracked with remediation plans.</t>
        </is>
      </c>
      <c r="G12" s="28" t="inlineStr">
        <is>
          <t>Audit/assessment report; Assessor qualifications/approval; CE submission confirmation; Remediation tracker</t>
        </is>
      </c>
      <c r="H12" s="28" t="inlineStr">
        <is>
          <t>Inspection</t>
        </is>
      </c>
      <c r="I12" s="28" t="inlineStr"/>
      <c r="J12" s="28" t="inlineStr"/>
      <c r="K12" s="28" t="inlineStr"/>
      <c r="L12" s="28" t="inlineStr"/>
      <c r="M12" s="28" t="inlineStr"/>
      <c r="N12" s="28" t="inlineStr"/>
    </row>
    <row r="13">
      <c r="A13" s="7" t="inlineStr">
        <is>
          <t>9.1.3.3</t>
        </is>
      </c>
      <c r="B13" s="7" t="inlineStr">
        <is>
          <t>NACSA-9.1.3c</t>
        </is>
      </c>
      <c r="C13" s="7" t="inlineStr"/>
      <c r="D13" s="7" t="inlineStr"/>
      <c r="E13" s="7" t="inlineStr">
        <is>
          <t>The cyber security risk assessment shall include the following key steps:
- Risk Identification: Proactively identify po...</t>
        </is>
      </c>
      <c r="F13" s="7" t="inlineStr">
        <is>
          <t>1. Request the risk assessment report (dated within the last 12 months per s21).
2. Verify it covers all NCII systems in scope.
3. Check the methodology follows NACSA's ISRM Toolkit or equivalent (5x5 matrix, asset/threat/vulnerability identification).
4. Verify CE submission confirmation within 30-day deadline.</t>
        </is>
      </c>
      <c r="G13" s="7" t="inlineStr">
        <is>
          <t>Approved policy/procedure document; Committee approval record; Version history</t>
        </is>
      </c>
      <c r="H13" s="7" t="inlineStr">
        <is>
          <t>Inspection</t>
        </is>
      </c>
      <c r="I13" s="7" t="inlineStr"/>
      <c r="J13" s="7" t="inlineStr"/>
      <c r="K13" s="7" t="inlineStr"/>
      <c r="L13" s="7" t="inlineStr"/>
      <c r="M13" s="7" t="inlineStr"/>
      <c r="N13" s="7" t="inlineStr"/>
    </row>
    <row r="14">
      <c r="A14" s="25" t="inlineStr">
        <is>
          <t>9.1.4</t>
        </is>
      </c>
      <c r="B14" s="25" t="inlineStr">
        <is>
          <t>NACSA-9.1.4</t>
        </is>
      </c>
      <c r="C14" s="25" t="inlineStr">
        <is>
          <t>ORG</t>
        </is>
      </c>
      <c r="D14" s="25" t="inlineStr">
        <is>
          <t>Documentation and Reporting</t>
        </is>
      </c>
      <c r="E14" s="25" t="inlineStr">
        <is>
          <t>Assess 3 mandatory requirement(s) + 1 improvement opportunity(ies)</t>
        </is>
      </c>
      <c r="F14" s="25" t="inlineStr"/>
      <c r="G14" s="25" t="inlineStr"/>
      <c r="H14" s="25" t="inlineStr"/>
      <c r="I14" s="25" t="inlineStr"/>
      <c r="J14" s="25" t="inlineStr"/>
      <c r="K14" s="25" t="inlineStr"/>
      <c r="L14" s="25" t="inlineStr"/>
      <c r="M14" s="26" t="inlineStr"/>
      <c r="N14" s="26" t="inlineStr"/>
    </row>
    <row r="15">
      <c r="A15" s="28" t="inlineStr">
        <is>
          <t>9.1.4.1</t>
        </is>
      </c>
      <c r="B15" s="28" t="inlineStr">
        <is>
          <t>NACSA-9.1.4a</t>
        </is>
      </c>
      <c r="C15" s="28" t="inlineStr"/>
      <c r="D15" s="28" t="inlineStr"/>
      <c r="E15" s="28" t="inlineStr">
        <is>
          <t>The cyber security risk assessment results shall be documented and reported to the relevant cyber security governance co...</t>
        </is>
      </c>
      <c r="F15" s="28" t="inlineStr">
        <is>
          <t>1. Request the risk assessment report (dated within the last 12 months per s21).
2. Verify it covers all NCII systems in scope.
3. Check the methodology follows NACSA's ISRM Toolkit or equivalent (5x5 matrix, asset/threat/vulnerability identification).
4. Verify CE submission confirmation within 30-day deadline.</t>
        </is>
      </c>
      <c r="G15" s="28" t="inlineStr">
        <is>
          <t>Approved policy/procedure document; Committee approval record; Version history</t>
        </is>
      </c>
      <c r="H15" s="28" t="inlineStr">
        <is>
          <t>Inspection</t>
        </is>
      </c>
      <c r="I15" s="28" t="inlineStr"/>
      <c r="J15" s="28" t="inlineStr"/>
      <c r="K15" s="28" t="inlineStr"/>
      <c r="L15" s="28" t="inlineStr"/>
      <c r="M15" s="28" t="inlineStr"/>
      <c r="N15" s="28" t="inlineStr"/>
    </row>
    <row r="16">
      <c r="A16" s="7" t="inlineStr">
        <is>
          <t>9.1.4.2</t>
        </is>
      </c>
      <c r="B16" s="7" t="inlineStr">
        <is>
          <t>NACSA-9.1.4b</t>
        </is>
      </c>
      <c r="C16" s="7" t="inlineStr"/>
      <c r="D16" s="7" t="inlineStr"/>
      <c r="E16" s="7" t="inlineStr">
        <is>
          <t>The report shall be submitted to the Chief Executive of NACSA via e-mail of auditpematuhan@nacsa.gov.my and the NCII ent...</t>
        </is>
      </c>
      <c r="F16" s="7" t="inlineStr">
        <is>
          <t>1. Request the most recent audit/assessment report.
2. Verify it was conducted by an approved/qualified party.
3. Confirm submission to CE NACSA within required timeframe.
4. Check that findings are tracked with remediation plans.</t>
        </is>
      </c>
      <c r="G16" s="7" t="inlineStr">
        <is>
          <t>Audit/assessment report; Assessor qualifications/approval; CE submission confirmation; Remediation tracker</t>
        </is>
      </c>
      <c r="H16" s="7" t="inlineStr">
        <is>
          <t>Inspection</t>
        </is>
      </c>
      <c r="I16" s="7" t="inlineStr"/>
      <c r="J16" s="7" t="inlineStr"/>
      <c r="K16" s="7" t="inlineStr"/>
      <c r="L16" s="7" t="inlineStr"/>
      <c r="M16" s="7" t="inlineStr"/>
      <c r="N16" s="7" t="inlineStr"/>
    </row>
    <row r="17">
      <c r="A17" s="27" t="inlineStr">
        <is>
          <t>9.1.4.3</t>
        </is>
      </c>
      <c r="B17" s="27" t="inlineStr">
        <is>
          <t>NACSA-9.1.4c</t>
        </is>
      </c>
      <c r="C17" s="27" t="inlineStr"/>
      <c r="D17" s="27" t="inlineStr"/>
      <c r="E17" s="27" t="inlineStr">
        <is>
          <t>(Tier 2 -- Improvement Opportunity) In cases where the submitted report requires rectification, the Chief Executive ...</t>
        </is>
      </c>
      <c r="F17" s="27" t="inlineStr">
        <is>
          <t>1. Request configuration documentation for the control.
2. Verify deployment covers all NCII network segments.
3. Review rule base/configuration for least-privilege and best practice.
4. Check for regular review and update of configurations.</t>
        </is>
      </c>
      <c r="G17" s="27" t="inlineStr">
        <is>
          <t>Configuration documentation; Rule base export; Review records; Network diagram</t>
        </is>
      </c>
      <c r="H17" s="27" t="inlineStr">
        <is>
          <t>Inspection</t>
        </is>
      </c>
      <c r="I17" s="27" t="inlineStr"/>
      <c r="J17" s="27" t="inlineStr"/>
      <c r="K17" s="27" t="inlineStr"/>
      <c r="L17" s="27" t="inlineStr"/>
      <c r="M17" s="27" t="inlineStr"/>
      <c r="N17" s="27" t="inlineStr"/>
    </row>
    <row r="18">
      <c r="A18" s="7" t="inlineStr">
        <is>
          <t>9.1.4.4</t>
        </is>
      </c>
      <c r="B18" s="7" t="inlineStr">
        <is>
          <t>NACSA-9.1.4d</t>
        </is>
      </c>
      <c r="C18" s="7" t="inlineStr"/>
      <c r="D18" s="7" t="inlineStr"/>
      <c r="E18" s="7" t="inlineStr">
        <is>
          <t>Cyber security risk reports shall include the following:
- The methodology used in the cyber security risk assessment
- ...</t>
        </is>
      </c>
      <c r="F18" s="7" t="inlineStr">
        <is>
          <t>1. Request the most recent audit/assessment report.
2. Verify it was conducted by an approved/qualified party.
3. Confirm submission to CE NACSA within required timeframe.
4. Check that findings are tracked with remediation plans.</t>
        </is>
      </c>
      <c r="G18" s="7" t="inlineStr">
        <is>
          <t>Audit/assessment report; Assessor qualifications/approval; CE submission confirmation; Remediation tracker</t>
        </is>
      </c>
      <c r="H18" s="7" t="inlineStr">
        <is>
          <t>Inspection</t>
        </is>
      </c>
      <c r="I18" s="7" t="inlineStr"/>
      <c r="J18" s="7" t="inlineStr"/>
      <c r="K18" s="7" t="inlineStr"/>
      <c r="L18" s="7" t="inlineStr"/>
      <c r="M18" s="7" t="inlineStr"/>
      <c r="N18" s="7" t="inlineStr"/>
    </row>
    <row r="19">
      <c r="A19" s="25" t="inlineStr">
        <is>
          <t>9.1.5</t>
        </is>
      </c>
      <c r="B19" s="25" t="inlineStr">
        <is>
          <t>NACSA-9.1.5</t>
        </is>
      </c>
      <c r="C19" s="25" t="inlineStr">
        <is>
          <t>ORG</t>
        </is>
      </c>
      <c r="D19" s="25" t="inlineStr">
        <is>
          <t>Risk Prioritisation</t>
        </is>
      </c>
      <c r="E19" s="25" t="inlineStr">
        <is>
          <t>Assess 2 mandatory requirement(s)</t>
        </is>
      </c>
      <c r="F19" s="25" t="inlineStr"/>
      <c r="G19" s="25" t="inlineStr"/>
      <c r="H19" s="25" t="inlineStr"/>
      <c r="I19" s="25" t="inlineStr"/>
      <c r="J19" s="25" t="inlineStr"/>
      <c r="K19" s="25" t="inlineStr"/>
      <c r="L19" s="25" t="inlineStr"/>
      <c r="M19" s="26" t="inlineStr"/>
      <c r="N19" s="26" t="inlineStr"/>
    </row>
    <row r="20">
      <c r="A20" s="28" t="inlineStr">
        <is>
          <t>9.1.5.1</t>
        </is>
      </c>
      <c r="B20" s="28" t="inlineStr">
        <is>
          <t>NACSA-9.1.5a</t>
        </is>
      </c>
      <c r="C20" s="28" t="inlineStr"/>
      <c r="D20" s="28" t="inlineStr"/>
      <c r="E20" s="28" t="inlineStr">
        <is>
          <t>Identified cyber security risks shall be prioritised based on the level of risks and the NCII entity's acceptance criter...</t>
        </is>
      </c>
      <c r="F20" s="28" t="inlineStr">
        <is>
          <t>1. Request the risk assessment methodology and most recent report.
2. Verify scope includes all NCII systems.
3. Confirm risk identification, analysis, and evaluation steps documented.
4. Check risk register is current with treatment plans.</t>
        </is>
      </c>
      <c r="G20" s="28" t="inlineStr">
        <is>
          <t>Risk assessment methodology; Risk assessment report; Risk register; Risk treatment plan</t>
        </is>
      </c>
      <c r="H20" s="28" t="inlineStr">
        <is>
          <t>Inspection</t>
        </is>
      </c>
      <c r="I20" s="28" t="inlineStr"/>
      <c r="J20" s="28" t="inlineStr"/>
      <c r="K20" s="28" t="inlineStr"/>
      <c r="L20" s="28" t="inlineStr"/>
      <c r="M20" s="28" t="inlineStr"/>
      <c r="N20" s="28" t="inlineStr"/>
    </row>
    <row r="21">
      <c r="A21" s="7" t="inlineStr">
        <is>
          <t>9.1.5.2</t>
        </is>
      </c>
      <c r="B21" s="7" t="inlineStr">
        <is>
          <t>NACSA-9.1.5b</t>
        </is>
      </c>
      <c r="C21" s="7" t="inlineStr"/>
      <c r="D21" s="7" t="inlineStr"/>
      <c r="E21" s="7" t="inlineStr">
        <is>
          <t>When evaluating risks against the acceptance criteria, the NCII entity shall consider potential impacts, including reput...</t>
        </is>
      </c>
      <c r="F21" s="7" t="inlineStr">
        <is>
          <t>1. Request the risk assessment methodology and most recent report.
2. Verify scope includes all NCII systems.
3. Confirm risk identification, analysis, and evaluation steps documented.
4. Check risk register is current with treatment plans.</t>
        </is>
      </c>
      <c r="G21" s="7" t="inlineStr">
        <is>
          <t>Risk assessment methodology; Risk assessment report; Risk register; Risk treatment plan</t>
        </is>
      </c>
      <c r="H21" s="7" t="inlineStr">
        <is>
          <t>Inspection</t>
        </is>
      </c>
      <c r="I21" s="7" t="inlineStr"/>
      <c r="J21" s="7" t="inlineStr"/>
      <c r="K21" s="7" t="inlineStr"/>
      <c r="L21" s="7" t="inlineStr"/>
      <c r="M21" s="7" t="inlineStr"/>
      <c r="N21" s="7" t="inlineStr"/>
    </row>
    <row r="22">
      <c r="A22" s="25" t="inlineStr">
        <is>
          <t>9.2.1</t>
        </is>
      </c>
      <c r="B22" s="25" t="inlineStr">
        <is>
          <t>NACSA-9.2.1</t>
        </is>
      </c>
      <c r="C22" s="25" t="inlineStr">
        <is>
          <t>ORG</t>
        </is>
      </c>
      <c r="D22" s="25" t="inlineStr">
        <is>
          <t>Formulation of Risk Treatment Plan</t>
        </is>
      </c>
      <c r="E22" s="25" t="inlineStr">
        <is>
          <t>Assess 2 mandatory requirement(s)</t>
        </is>
      </c>
      <c r="F22" s="25" t="inlineStr"/>
      <c r="G22" s="25" t="inlineStr"/>
      <c r="H22" s="25" t="inlineStr"/>
      <c r="I22" s="25" t="inlineStr"/>
      <c r="J22" s="25" t="inlineStr"/>
      <c r="K22" s="25" t="inlineStr"/>
      <c r="L22" s="25" t="inlineStr"/>
      <c r="M22" s="26" t="inlineStr"/>
      <c r="N22" s="26" t="inlineStr"/>
    </row>
    <row r="23">
      <c r="A23" s="28" t="inlineStr">
        <is>
          <t>9.2.1.1</t>
        </is>
      </c>
      <c r="B23" s="28" t="inlineStr">
        <is>
          <t>NACSA-9.2.1a</t>
        </is>
      </c>
      <c r="C23" s="28" t="inlineStr"/>
      <c r="D23" s="28" t="inlineStr"/>
      <c r="E23" s="28" t="inlineStr">
        <is>
          <t>The NCII entity shall formulate a Risk Treatment Plan (RTP) that outlines prioritised actions based on the level of risk...</t>
        </is>
      </c>
      <c r="F23" s="28" t="inlineStr">
        <is>
          <t>1. Request the Risk Treatment Plan (RTP) for all identified risks.
2. For each high/critical risk, verify a named owner is assigned with a target date.
3. Sample 5 treatment actions — verify implementation evidence against planned dates.
4. Check that residual risk is formally accepted by appropriate management level.</t>
        </is>
      </c>
      <c r="G23" s="28" t="inlineStr">
        <is>
          <t>Relevant policy/procedure; Implementation evidence; Review/monitoring records</t>
        </is>
      </c>
      <c r="H23" s="28" t="inlineStr">
        <is>
          <t>Inspection</t>
        </is>
      </c>
      <c r="I23" s="28" t="inlineStr"/>
      <c r="J23" s="28" t="inlineStr"/>
      <c r="K23" s="28" t="inlineStr"/>
      <c r="L23" s="28" t="inlineStr"/>
      <c r="M23" s="28" t="inlineStr"/>
      <c r="N23" s="28" t="inlineStr"/>
    </row>
    <row r="24">
      <c r="A24" s="7" t="inlineStr">
        <is>
          <t>9.2.1.2</t>
        </is>
      </c>
      <c r="B24" s="7" t="inlineStr">
        <is>
          <t>NACSA-9.2.1b</t>
        </is>
      </c>
      <c r="C24" s="7" t="inlineStr"/>
      <c r="D24" s="7" t="inlineStr"/>
      <c r="E24" s="7" t="inlineStr">
        <is>
          <t>For each identified cyber security risk within the RTP, detailed implementation information shall be monitored and docum...</t>
        </is>
      </c>
      <c r="F24" s="7" t="inlineStr">
        <is>
          <t>1. Request the risk assessment methodology and most recent report.
2. Verify scope includes all NCII systems.
3. Confirm risk identification, analysis, and evaluation steps documented.
4. Check risk register is current with treatment plans.</t>
        </is>
      </c>
      <c r="G24" s="7" t="inlineStr">
        <is>
          <t>Risk assessment methodology; Risk assessment report; Risk register; Risk treatment plan</t>
        </is>
      </c>
      <c r="H24" s="7" t="inlineStr">
        <is>
          <t>Inspection</t>
        </is>
      </c>
      <c r="I24" s="7" t="inlineStr"/>
      <c r="J24" s="7" t="inlineStr"/>
      <c r="K24" s="7" t="inlineStr"/>
      <c r="L24" s="7" t="inlineStr"/>
      <c r="M24" s="7" t="inlineStr"/>
      <c r="N24" s="7" t="inlineStr"/>
    </row>
    <row r="25">
      <c r="A25" s="25" t="inlineStr">
        <is>
          <t>9.2.2</t>
        </is>
      </c>
      <c r="B25" s="25" t="inlineStr">
        <is>
          <t>NACSA-9.2.2</t>
        </is>
      </c>
      <c r="C25" s="25" t="inlineStr">
        <is>
          <t>ORG</t>
        </is>
      </c>
      <c r="D25" s="25" t="inlineStr">
        <is>
          <t>Approval of Plan</t>
        </is>
      </c>
      <c r="E25" s="25" t="inlineStr">
        <is>
          <t>Assess 2 mandatory requirement(s)</t>
        </is>
      </c>
      <c r="F25" s="25" t="inlineStr"/>
      <c r="G25" s="25" t="inlineStr"/>
      <c r="H25" s="25" t="inlineStr"/>
      <c r="I25" s="25" t="inlineStr"/>
      <c r="J25" s="25" t="inlineStr"/>
      <c r="K25" s="25" t="inlineStr"/>
      <c r="L25" s="25" t="inlineStr"/>
      <c r="M25" s="26" t="inlineStr"/>
      <c r="N25" s="26" t="inlineStr"/>
    </row>
    <row r="26">
      <c r="A26" s="28" t="inlineStr">
        <is>
          <t>9.2.2.1</t>
        </is>
      </c>
      <c r="B26" s="28" t="inlineStr">
        <is>
          <t>NACSA-9.2.2a</t>
        </is>
      </c>
      <c r="C26" s="28" t="inlineStr"/>
      <c r="D26" s="28" t="inlineStr"/>
      <c r="E26" s="28" t="inlineStr">
        <is>
          <t>The RTP shall be reviewed and approved by the relevant cyber security governance committee as authorised by management, ...</t>
        </is>
      </c>
      <c r="F26" s="28" t="inlineStr">
        <is>
          <t>1. Request evidence of the last review — meeting minutes, review report, or updated document with review date.
2. Verify review was conducted within the required period (annually or as specified).
3. Check that review outcomes are documented with any changes approved.
4. Confirm the review addressed current threats, regulatory changes, and lessons learned.</t>
        </is>
      </c>
      <c r="G26" s="28" t="inlineStr">
        <is>
          <t>Relevant policy/procedure; Implementation evidence; Review/monitoring records</t>
        </is>
      </c>
      <c r="H26" s="28" t="inlineStr">
        <is>
          <t>Inspection</t>
        </is>
      </c>
      <c r="I26" s="28" t="inlineStr"/>
      <c r="J26" s="28" t="inlineStr"/>
      <c r="K26" s="28" t="inlineStr"/>
      <c r="L26" s="28" t="inlineStr"/>
      <c r="M26" s="28" t="inlineStr"/>
      <c r="N26" s="28" t="inlineStr"/>
    </row>
    <row r="27">
      <c r="A27" s="7" t="inlineStr">
        <is>
          <t>9.2.2.2</t>
        </is>
      </c>
      <c r="B27" s="7" t="inlineStr">
        <is>
          <t>NACSA-9.2.2b</t>
        </is>
      </c>
      <c r="C27" s="7" t="inlineStr"/>
      <c r="D27" s="7" t="inlineStr"/>
      <c r="E27" s="7" t="inlineStr">
        <is>
          <t>To grant approval, the risk owners shall evaluate the proposed controls outlined in the RTP to assess their effectivenes...</t>
        </is>
      </c>
      <c r="F27" s="7" t="inlineStr">
        <is>
          <t>1. Request the risk assessment methodology and most recent report.
2. Verify scope includes all NCII systems.
3. Confirm risk identification, analysis, and evaluation steps documented.
4. Check risk register is current with treatment plans.</t>
        </is>
      </c>
      <c r="G27" s="7" t="inlineStr">
        <is>
          <t>Risk assessment methodology; Risk assessment report; Risk register; Risk treatment plan</t>
        </is>
      </c>
      <c r="H27" s="7" t="inlineStr">
        <is>
          <t>Inspection</t>
        </is>
      </c>
      <c r="I27" s="7" t="inlineStr"/>
      <c r="J27" s="7" t="inlineStr"/>
      <c r="K27" s="7" t="inlineStr"/>
      <c r="L27" s="7" t="inlineStr"/>
      <c r="M27" s="7" t="inlineStr"/>
      <c r="N27" s="7" t="inlineStr"/>
    </row>
    <row r="28">
      <c r="A28" s="25" t="inlineStr">
        <is>
          <t>9.2.3</t>
        </is>
      </c>
      <c r="B28" s="25" t="inlineStr">
        <is>
          <t>NACSA-9.2.3</t>
        </is>
      </c>
      <c r="C28" s="25" t="inlineStr">
        <is>
          <t>ORG</t>
        </is>
      </c>
      <c r="D28" s="25" t="inlineStr">
        <is>
          <t>Implementation of Plan</t>
        </is>
      </c>
      <c r="E28" s="25" t="inlineStr">
        <is>
          <t>Assess 2 mandatory requirement(s)</t>
        </is>
      </c>
      <c r="F28" s="25" t="inlineStr"/>
      <c r="G28" s="25" t="inlineStr"/>
      <c r="H28" s="25" t="inlineStr"/>
      <c r="I28" s="25" t="inlineStr"/>
      <c r="J28" s="25" t="inlineStr"/>
      <c r="K28" s="25" t="inlineStr"/>
      <c r="L28" s="25" t="inlineStr"/>
      <c r="M28" s="26" t="inlineStr"/>
      <c r="N28" s="26" t="inlineStr"/>
    </row>
    <row r="29">
      <c r="A29" s="28" t="inlineStr">
        <is>
          <t>9.2.3.1</t>
        </is>
      </c>
      <c r="B29" s="28" t="inlineStr">
        <is>
          <t>NACSA-9.2.3a</t>
        </is>
      </c>
      <c r="C29" s="28" t="inlineStr"/>
      <c r="D29" s="28" t="inlineStr"/>
      <c r="E29" s="28" t="inlineStr">
        <is>
          <t>The approved RTP shall be implemented and the implementation effectiveness should be continuously monitored and reviewed...</t>
        </is>
      </c>
      <c r="F29" s="28" t="inlineStr">
        <is>
          <t>1. Request evidence of the last review — meeting minutes, review report, or updated document with review date.
2. Verify review was conducted within the required period (annually or as specified).
3. Check that review outcomes are documented with any changes approved.
4. Confirm the review addressed current threats, regulatory changes, and lessons learned.</t>
        </is>
      </c>
      <c r="G29" s="28" t="inlineStr">
        <is>
          <t>Approved policy/procedure document; Committee approval record; Version history</t>
        </is>
      </c>
      <c r="H29" s="28" t="inlineStr">
        <is>
          <t>Inspection</t>
        </is>
      </c>
      <c r="I29" s="28" t="inlineStr"/>
      <c r="J29" s="28" t="inlineStr"/>
      <c r="K29" s="28" t="inlineStr"/>
      <c r="L29" s="28" t="inlineStr"/>
      <c r="M29" s="28" t="inlineStr"/>
      <c r="N29" s="28" t="inlineStr"/>
    </row>
    <row r="30">
      <c r="A30" s="7" t="inlineStr">
        <is>
          <t>9.2.3.2</t>
        </is>
      </c>
      <c r="B30" s="7" t="inlineStr">
        <is>
          <t>NACSA-9.2.3b</t>
        </is>
      </c>
      <c r="C30" s="7" t="inlineStr"/>
      <c r="D30" s="7" t="inlineStr"/>
      <c r="E30" s="7" t="inlineStr">
        <is>
          <t>Progress on the execution of the plan shall be reported periodically, with clear status updates categorised as:
- Not St...</t>
        </is>
      </c>
      <c r="F30"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9.2.3.2.</t>
        </is>
      </c>
      <c r="G30" s="7" t="inlineStr">
        <is>
          <t>Relevant policy/procedure; Implementation evidence; Review/monitoring records</t>
        </is>
      </c>
      <c r="H30" s="7" t="inlineStr">
        <is>
          <t>Inspection</t>
        </is>
      </c>
      <c r="I30" s="7" t="inlineStr"/>
      <c r="J30" s="7" t="inlineStr"/>
      <c r="K30" s="7" t="inlineStr"/>
      <c r="L30" s="7" t="inlineStr"/>
      <c r="M30" s="7" t="inlineStr"/>
      <c r="N30" s="7" t="inlineStr"/>
    </row>
    <row r="31">
      <c r="A31" s="25" t="inlineStr">
        <is>
          <t>9.2.4</t>
        </is>
      </c>
      <c r="B31" s="25" t="inlineStr">
        <is>
          <t>NACSA-9.2.4</t>
        </is>
      </c>
      <c r="C31" s="25" t="inlineStr">
        <is>
          <t>ORG</t>
        </is>
      </c>
      <c r="D31" s="25" t="inlineStr">
        <is>
          <t>Documentation and Reporting</t>
        </is>
      </c>
      <c r="E31" s="25" t="inlineStr">
        <is>
          <t>Assess 1 mandatory requirement(s) + 1 improvement opportunity(ies)</t>
        </is>
      </c>
      <c r="F31" s="25" t="inlineStr"/>
      <c r="G31" s="25" t="inlineStr"/>
      <c r="H31" s="25" t="inlineStr"/>
      <c r="I31" s="25" t="inlineStr"/>
      <c r="J31" s="25" t="inlineStr"/>
      <c r="K31" s="25" t="inlineStr"/>
      <c r="L31" s="25" t="inlineStr"/>
      <c r="M31" s="26" t="inlineStr"/>
      <c r="N31" s="26" t="inlineStr"/>
    </row>
    <row r="32">
      <c r="A32" s="28" t="inlineStr">
        <is>
          <t>9.2.4.1</t>
        </is>
      </c>
      <c r="B32" s="28" t="inlineStr">
        <is>
          <t>NACSA-9.2.4a</t>
        </is>
      </c>
      <c r="C32" s="28" t="inlineStr"/>
      <c r="D32" s="28" t="inlineStr"/>
      <c r="E32" s="28" t="inlineStr">
        <is>
          <t>The results of the cyber security risk treatment shall be documented and reported to the relevant cyber security governa...</t>
        </is>
      </c>
      <c r="F32" s="28" t="inlineStr">
        <is>
          <t>1. Request the Risk Treatment Plan (RTP) for all identified risks.
2. For each high/critical risk, verify a named owner is assigned with a target date.
3. Sample 5 treatment actions — verify implementation evidence against planned dates.
4. Check that residual risk is formally accepted by appropriate management level.</t>
        </is>
      </c>
      <c r="G32" s="28" t="inlineStr">
        <is>
          <t>Approved policy/procedure document; Committee approval record; Version history</t>
        </is>
      </c>
      <c r="H32" s="28" t="inlineStr">
        <is>
          <t>Inspection</t>
        </is>
      </c>
      <c r="I32" s="28" t="inlineStr"/>
      <c r="J32" s="28" t="inlineStr"/>
      <c r="K32" s="28" t="inlineStr"/>
      <c r="L32" s="28" t="inlineStr"/>
      <c r="M32" s="28" t="inlineStr"/>
      <c r="N32" s="28" t="inlineStr"/>
    </row>
    <row r="33">
      <c r="A33" s="27" t="inlineStr">
        <is>
          <t>9.2.4.2</t>
        </is>
      </c>
      <c r="B33" s="27" t="inlineStr">
        <is>
          <t>NACSA-9.2.4b</t>
        </is>
      </c>
      <c r="C33" s="27" t="inlineStr"/>
      <c r="D33" s="27" t="inlineStr"/>
      <c r="E33" s="27" t="inlineStr">
        <is>
          <t>(Tier 2 -- Improvement Opportunity) The report should include, but not limited to, the following:
- The necessary co...</t>
        </is>
      </c>
      <c r="F33" s="2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9.2.4.2.</t>
        </is>
      </c>
      <c r="G33" s="27" t="inlineStr">
        <is>
          <t>Relevant policy/procedure; Implementation evidence; Review/monitoring records</t>
        </is>
      </c>
      <c r="H33" s="27" t="inlineStr">
        <is>
          <t>Inspection</t>
        </is>
      </c>
      <c r="I33" s="27" t="inlineStr"/>
      <c r="J33" s="27" t="inlineStr"/>
      <c r="K33" s="27" t="inlineStr"/>
      <c r="L33" s="27" t="inlineStr"/>
      <c r="M33" s="27" t="inlineStr"/>
      <c r="N33" s="27" t="inlineStr"/>
    </row>
  </sheetData>
  <mergeCells count="2">
    <mergeCell ref="A3:N3"/>
    <mergeCell ref="A2:N2"/>
  </mergeCells>
  <conditionalFormatting sqref="M4:M34">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33"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10.0 — Operational Efficiency (Organisation-Level)</t>
        </is>
      </c>
      <c r="B2" s="38" t="n"/>
      <c r="C2" s="38" t="n"/>
      <c r="D2" s="38" t="n"/>
      <c r="E2" s="38" t="n"/>
      <c r="F2" s="38" t="n"/>
      <c r="G2" s="38" t="n"/>
      <c r="H2" s="38" t="n"/>
      <c r="I2" s="38" t="n"/>
      <c r="J2" s="38" t="n"/>
      <c r="K2" s="38" t="n"/>
      <c r="L2" s="38" t="n"/>
      <c r="M2" s="38" t="n"/>
      <c r="N2" s="39" t="n"/>
    </row>
    <row r="3" ht="60" customHeight="1">
      <c r="A3" s="23" t="inlineStr">
        <is>
          <t>WHY: Change management prevents unauthorised modifications that could compromise NCII. Uncontrolled changes are a leading cause of outages and security incidents.
WHAT GOOD LOOKS LIKE: Documented change procedure covering request, risk assessment, approval, testing, implementation, and review. Emergency changes with retrospective approval. Annual review of process.
KEY RISK IF ABSENT: Unauthorised changes causing security gaps or outages, inability to trace changes back to approved requests, audit trail gaps.</t>
        </is>
      </c>
      <c r="B3" s="38" t="n"/>
      <c r="C3" s="38" t="n"/>
      <c r="D3" s="38" t="n"/>
      <c r="E3" s="38" t="n"/>
      <c r="F3" s="38" t="n"/>
      <c r="G3" s="38" t="n"/>
      <c r="H3" s="38" t="n"/>
      <c r="I3" s="38" t="n"/>
      <c r="J3" s="38" t="n"/>
      <c r="K3" s="38" t="n"/>
      <c r="L3" s="38" t="n"/>
      <c r="M3" s="38" t="n"/>
      <c r="N3" s="39" t="n"/>
    </row>
    <row r="4">
      <c r="A4" s="25" t="inlineStr">
        <is>
          <t>10.1.1</t>
        </is>
      </c>
      <c r="B4" s="25" t="inlineStr">
        <is>
          <t>NACSA-10.1.1</t>
        </is>
      </c>
      <c r="C4" s="25" t="inlineStr">
        <is>
          <t>ORG</t>
        </is>
      </c>
      <c r="D4" s="25" t="inlineStr">
        <is>
          <t>Establishment of Change Management Procedure</t>
        </is>
      </c>
      <c r="E4" s="25" t="inlineStr">
        <is>
          <t>Assess 2 mandatory requirement(s)</t>
        </is>
      </c>
      <c r="F4" s="25" t="inlineStr"/>
      <c r="G4" s="25" t="inlineStr"/>
      <c r="H4" s="25" t="inlineStr"/>
      <c r="I4" s="25" t="inlineStr"/>
      <c r="J4" s="25" t="inlineStr"/>
      <c r="K4" s="25" t="inlineStr"/>
      <c r="L4" s="25" t="inlineStr"/>
      <c r="M4" s="26" t="inlineStr"/>
      <c r="N4" s="26" t="inlineStr"/>
    </row>
    <row r="5">
      <c r="A5" s="7" t="inlineStr">
        <is>
          <t>10.1.1.1</t>
        </is>
      </c>
      <c r="B5" s="7" t="inlineStr">
        <is>
          <t>NACSA-10.1.1a</t>
        </is>
      </c>
      <c r="C5" s="7" t="inlineStr"/>
      <c r="D5" s="7" t="inlineStr"/>
      <c r="E5" s="7" t="inlineStr">
        <is>
          <t>The NCII entity shall establish a Change Management Procedure to ensure structured and controlled changes to information...</t>
        </is>
      </c>
      <c r="F5" s="7" t="inlineStr">
        <is>
          <t>1. Request the current procedure document with approval records.
2. Verify it is formally approved by the governance committee or top management (check signatures, dates).
3. Confirm it addresses all elements specified in this clause.
4. Verify version control is maintained with change history.</t>
        </is>
      </c>
      <c r="G5" s="7" t="inlineStr">
        <is>
          <t>Approved policy/procedure document; Committee approval record; Version history</t>
        </is>
      </c>
      <c r="H5" s="7" t="inlineStr">
        <is>
          <t>Inspection</t>
        </is>
      </c>
      <c r="I5" s="7" t="inlineStr"/>
      <c r="J5" s="7" t="inlineStr"/>
      <c r="K5" s="7" t="inlineStr"/>
      <c r="L5" s="7" t="inlineStr"/>
      <c r="M5" s="7" t="inlineStr"/>
      <c r="N5" s="7" t="inlineStr"/>
    </row>
    <row r="6">
      <c r="A6" s="28" t="inlineStr">
        <is>
          <t>10.1.1.2</t>
        </is>
      </c>
      <c r="B6" s="28" t="inlineStr">
        <is>
          <t>NACSA-10.1.1b</t>
        </is>
      </c>
      <c r="C6" s="28" t="inlineStr"/>
      <c r="D6" s="28" t="inlineStr"/>
      <c r="E6" s="28" t="inlineStr">
        <is>
          <t>The procedure shall outline:
- Change request submission and documentation.
- Assessment of risks and impact.
- Testing ...</t>
        </is>
      </c>
      <c r="F6" s="28" t="inlineStr">
        <is>
          <t>1. Request the most recent audit/assessment report.
2. Verify it was conducted by an approved/qualified party.
3. Confirm submission to CE NACSA within required timeframe.
4. Check that findings are tracked with remediation plans.</t>
        </is>
      </c>
      <c r="G6" s="28" t="inlineStr">
        <is>
          <t>Audit/assessment report; Assessor qualifications/approval; CE submission confirmation; Remediation tracker</t>
        </is>
      </c>
      <c r="H6" s="28" t="inlineStr">
        <is>
          <t>Inspection</t>
        </is>
      </c>
      <c r="I6" s="28" t="inlineStr"/>
      <c r="J6" s="28" t="inlineStr"/>
      <c r="K6" s="28" t="inlineStr"/>
      <c r="L6" s="28" t="inlineStr"/>
      <c r="M6" s="28" t="inlineStr"/>
      <c r="N6" s="28" t="inlineStr"/>
    </row>
    <row r="7">
      <c r="A7" s="25" t="inlineStr">
        <is>
          <t>10.1.2</t>
        </is>
      </c>
      <c r="B7" s="25" t="inlineStr">
        <is>
          <t>NACSA-10.1.2</t>
        </is>
      </c>
      <c r="C7" s="25" t="inlineStr">
        <is>
          <t>ORG</t>
        </is>
      </c>
      <c r="D7" s="25" t="inlineStr">
        <is>
          <t>Application of Change Management Procedure</t>
        </is>
      </c>
      <c r="E7" s="25" t="inlineStr">
        <is>
          <t>Assess 3 mandatory requirement(s)</t>
        </is>
      </c>
      <c r="F7" s="25" t="inlineStr"/>
      <c r="G7" s="25" t="inlineStr"/>
      <c r="H7" s="25" t="inlineStr"/>
      <c r="I7" s="25" t="inlineStr"/>
      <c r="J7" s="25" t="inlineStr"/>
      <c r="K7" s="25" t="inlineStr"/>
      <c r="L7" s="25" t="inlineStr"/>
      <c r="M7" s="26" t="inlineStr"/>
      <c r="N7" s="26" t="inlineStr"/>
    </row>
    <row r="8">
      <c r="A8" s="7" t="inlineStr">
        <is>
          <t>10.1.2.1</t>
        </is>
      </c>
      <c r="B8" s="7" t="inlineStr">
        <is>
          <t>NACSA-10.1.2a</t>
        </is>
      </c>
      <c r="C8" s="7" t="inlineStr"/>
      <c r="D8" s="7" t="inlineStr"/>
      <c r="E8" s="7" t="inlineStr">
        <is>
          <t>The change management procedure shall be enforced across all NCII entity to maintain system stability and security.</t>
        </is>
      </c>
      <c r="F8" s="7" t="inlineStr">
        <is>
          <t>1. Request change management procedure.
2. Sample 10 changes — verify full lifecycle (request, risk assessment, approval, test, implementation).
3. Check for emergency change records with retrospective approval.
4. Review annual change process review.</t>
        </is>
      </c>
      <c r="G8" s="7" t="inlineStr">
        <is>
          <t>Change management procedure; 10 sampled change records; Emergency change records; Process review records</t>
        </is>
      </c>
      <c r="H8" s="7" t="inlineStr">
        <is>
          <t>Inspection</t>
        </is>
      </c>
      <c r="I8" s="7" t="inlineStr"/>
      <c r="J8" s="7" t="inlineStr"/>
      <c r="K8" s="7" t="inlineStr"/>
      <c r="L8" s="7" t="inlineStr"/>
      <c r="M8" s="7" t="inlineStr"/>
      <c r="N8" s="7" t="inlineStr"/>
    </row>
    <row r="9">
      <c r="A9" s="28" t="inlineStr">
        <is>
          <t>10.1.2.2</t>
        </is>
      </c>
      <c r="B9" s="28" t="inlineStr">
        <is>
          <t>NACSA-10.1.2b</t>
        </is>
      </c>
      <c r="C9" s="28" t="inlineStr"/>
      <c r="D9" s="28" t="inlineStr"/>
      <c r="E9" s="28" t="inlineStr">
        <is>
          <t>All changes shall be tracked in a centralised system for accountability.</t>
        </is>
      </c>
      <c r="F9"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10.1.2.2.</t>
        </is>
      </c>
      <c r="G9" s="28" t="inlineStr">
        <is>
          <t>Relevant policy/procedure; Implementation evidence; Review/monitoring records</t>
        </is>
      </c>
      <c r="H9" s="28" t="inlineStr">
        <is>
          <t>Inspection</t>
        </is>
      </c>
      <c r="I9" s="28" t="inlineStr"/>
      <c r="J9" s="28" t="inlineStr"/>
      <c r="K9" s="28" t="inlineStr"/>
      <c r="L9" s="28" t="inlineStr"/>
      <c r="M9" s="28" t="inlineStr"/>
      <c r="N9" s="28" t="inlineStr"/>
    </row>
    <row r="10">
      <c r="A10" s="7" t="inlineStr">
        <is>
          <t>10.1.2.3</t>
        </is>
      </c>
      <c r="B10" s="7" t="inlineStr">
        <is>
          <t>NACSA-10.1.2c</t>
        </is>
      </c>
      <c r="C10" s="7" t="inlineStr"/>
      <c r="D10" s="7" t="inlineStr"/>
      <c r="E10" s="7" t="inlineStr">
        <is>
          <t>Emergency changes shall require expedited approvals and post-implementation reviews.</t>
        </is>
      </c>
      <c r="F10" s="7" t="inlineStr">
        <is>
          <t>1. Request the document with approval records (signatures, dates, approving authority).
2. Verify the approving authority is appropriate per the entity's governance structure.
3. Check that amendments since last approval are documented and re-approved.
4. Confirm the approval process aligns with the entity's document control procedures.</t>
        </is>
      </c>
      <c r="G10" s="7" t="inlineStr">
        <is>
          <t>Relevant policy/procedure; Implementation evidence; Review/monitoring records</t>
        </is>
      </c>
      <c r="H10" s="7" t="inlineStr">
        <is>
          <t>Inspection</t>
        </is>
      </c>
      <c r="I10" s="7" t="inlineStr"/>
      <c r="J10" s="7" t="inlineStr"/>
      <c r="K10" s="7" t="inlineStr"/>
      <c r="L10" s="7" t="inlineStr"/>
      <c r="M10" s="7" t="inlineStr"/>
      <c r="N10" s="7" t="inlineStr"/>
    </row>
    <row r="11">
      <c r="A11" s="25" t="inlineStr">
        <is>
          <t>10.1.3</t>
        </is>
      </c>
      <c r="B11" s="25" t="inlineStr">
        <is>
          <t>NACSA-10.1.3</t>
        </is>
      </c>
      <c r="C11" s="25" t="inlineStr">
        <is>
          <t>ORG</t>
        </is>
      </c>
      <c r="D11" s="25" t="inlineStr">
        <is>
          <t>Authorisation for Changes</t>
        </is>
      </c>
      <c r="E11" s="25" t="inlineStr">
        <is>
          <t>Assess 2 mandatory requirement(s)</t>
        </is>
      </c>
      <c r="F11" s="25" t="inlineStr"/>
      <c r="G11" s="25" t="inlineStr"/>
      <c r="H11" s="25" t="inlineStr"/>
      <c r="I11" s="25" t="inlineStr"/>
      <c r="J11" s="25" t="inlineStr"/>
      <c r="K11" s="25" t="inlineStr"/>
      <c r="L11" s="25" t="inlineStr"/>
      <c r="M11" s="26" t="inlineStr"/>
      <c r="N11" s="26" t="inlineStr"/>
    </row>
    <row r="12">
      <c r="A12" s="28" t="inlineStr">
        <is>
          <t>10.1.3.1</t>
        </is>
      </c>
      <c r="B12" s="28" t="inlineStr">
        <is>
          <t>NACSA-10.1.3a</t>
        </is>
      </c>
      <c r="C12" s="28" t="inlineStr"/>
      <c r="D12" s="28" t="inlineStr"/>
      <c r="E12" s="28" t="inlineStr">
        <is>
          <t>Any changes to information processing facilities, information systems or other relevant IT components, shall require for...</t>
        </is>
      </c>
      <c r="F12" s="28" t="inlineStr">
        <is>
          <t>1. Request change management procedure.
2. Sample 10 changes — verify full lifecycle (request, risk assessment, approval, test, implementation).
3. Check for emergency change records with retrospective approval.
4. Review annual change process review.</t>
        </is>
      </c>
      <c r="G12" s="28" t="inlineStr">
        <is>
          <t>Change management procedure; 10 sampled change records; Emergency change records; Process review records</t>
        </is>
      </c>
      <c r="H12" s="28" t="inlineStr">
        <is>
          <t>Inspection</t>
        </is>
      </c>
      <c r="I12" s="28" t="inlineStr"/>
      <c r="J12" s="28" t="inlineStr"/>
      <c r="K12" s="28" t="inlineStr"/>
      <c r="L12" s="28" t="inlineStr"/>
      <c r="M12" s="28" t="inlineStr"/>
      <c r="N12" s="28" t="inlineStr"/>
    </row>
    <row r="13">
      <c r="A13" s="7" t="inlineStr">
        <is>
          <t>10.1.3.2</t>
        </is>
      </c>
      <c r="B13" s="7" t="inlineStr">
        <is>
          <t>NACSA-10.1.3b</t>
        </is>
      </c>
      <c r="C13" s="7" t="inlineStr"/>
      <c r="D13" s="7" t="inlineStr"/>
      <c r="E13" s="7" t="inlineStr">
        <is>
          <t>Authorisation shall be granted based on:
- Risk level.
- Business impact.
- Security implications.</t>
        </is>
      </c>
      <c r="F13"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10.1.3.2.</t>
        </is>
      </c>
      <c r="G13" s="7" t="inlineStr">
        <is>
          <t>Relevant policy/procedure; Implementation evidence; Review/monitoring records</t>
        </is>
      </c>
      <c r="H13" s="7" t="inlineStr">
        <is>
          <t>Inspection</t>
        </is>
      </c>
      <c r="I13" s="7" t="inlineStr"/>
      <c r="J13" s="7" t="inlineStr"/>
      <c r="K13" s="7" t="inlineStr"/>
      <c r="L13" s="7" t="inlineStr"/>
      <c r="M13" s="7" t="inlineStr"/>
      <c r="N13" s="7" t="inlineStr"/>
    </row>
    <row r="14">
      <c r="A14" s="25" t="inlineStr">
        <is>
          <t>10.1.4</t>
        </is>
      </c>
      <c r="B14" s="25" t="inlineStr">
        <is>
          <t>NACSA-10.1.4</t>
        </is>
      </c>
      <c r="C14" s="25" t="inlineStr">
        <is>
          <t>ORG</t>
        </is>
      </c>
      <c r="D14" s="25" t="inlineStr">
        <is>
          <t>Review of Change Management Procedure</t>
        </is>
      </c>
      <c r="E14" s="25" t="inlineStr">
        <is>
          <t>Assess 2 mandatory requirement(s)</t>
        </is>
      </c>
      <c r="F14" s="25" t="inlineStr"/>
      <c r="G14" s="25" t="inlineStr"/>
      <c r="H14" s="25" t="inlineStr"/>
      <c r="I14" s="25" t="inlineStr"/>
      <c r="J14" s="25" t="inlineStr"/>
      <c r="K14" s="25" t="inlineStr"/>
      <c r="L14" s="25" t="inlineStr"/>
      <c r="M14" s="26" t="inlineStr"/>
      <c r="N14" s="26" t="inlineStr"/>
    </row>
    <row r="15">
      <c r="A15" s="28" t="inlineStr">
        <is>
          <t>10.1.4.1</t>
        </is>
      </c>
      <c r="B15" s="28" t="inlineStr">
        <is>
          <t>NACSA-10.1.4a</t>
        </is>
      </c>
      <c r="C15" s="28" t="inlineStr"/>
      <c r="D15" s="28" t="inlineStr"/>
      <c r="E15" s="28" t="inlineStr">
        <is>
          <t>The change management procedure shall be reviewed annually and / or when significant changes occur.</t>
        </is>
      </c>
      <c r="F15" s="28"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15" s="28" t="inlineStr">
        <is>
          <t>Review report/minutes; Updated document post-review; Approval of changes</t>
        </is>
      </c>
      <c r="H15" s="28" t="inlineStr">
        <is>
          <t>Inspection</t>
        </is>
      </c>
      <c r="I15" s="28" t="inlineStr"/>
      <c r="J15" s="28" t="inlineStr"/>
      <c r="K15" s="28" t="inlineStr"/>
      <c r="L15" s="28" t="inlineStr"/>
      <c r="M15" s="28" t="inlineStr"/>
      <c r="N15" s="28" t="inlineStr"/>
    </row>
    <row r="16">
      <c r="A16" s="7" t="inlineStr">
        <is>
          <t>10.1.4.2</t>
        </is>
      </c>
      <c r="B16" s="7" t="inlineStr">
        <is>
          <t>NACSA-10.1.4b</t>
        </is>
      </c>
      <c r="C16" s="7" t="inlineStr"/>
      <c r="D16" s="7" t="inlineStr"/>
      <c r="E16" s="7" t="inlineStr">
        <is>
          <t>Reviews shall assess:
- Effectiveness of the change control process.
- Compliance with security and operational policies...</t>
        </is>
      </c>
      <c r="F16" s="7" t="inlineStr">
        <is>
          <t>1. Request change management procedure.
2. Sample 10 changes — verify full lifecycle (request, risk assessment, approval, test, implementation).
3. Check for emergency change records with retrospective approval.
4. Review annual change process review.</t>
        </is>
      </c>
      <c r="G16" s="7" t="inlineStr">
        <is>
          <t>Change management procedure; 10 sampled change records; Emergency change records; Process review records</t>
        </is>
      </c>
      <c r="H16" s="7" t="inlineStr">
        <is>
          <t>Inspection</t>
        </is>
      </c>
      <c r="I16" s="7" t="inlineStr"/>
      <c r="J16" s="7" t="inlineStr"/>
      <c r="K16" s="7" t="inlineStr"/>
      <c r="L16" s="7" t="inlineStr"/>
      <c r="M16" s="7" t="inlineStr"/>
      <c r="N16" s="7" t="inlineStr"/>
    </row>
  </sheetData>
  <mergeCells count="2">
    <mergeCell ref="A3:N3"/>
    <mergeCell ref="A2:N2"/>
  </mergeCells>
  <conditionalFormatting sqref="M4:M17">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16"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77"/>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11.0 — Data Security (Organisation-Level)</t>
        </is>
      </c>
      <c r="B2" s="38" t="n"/>
      <c r="C2" s="38" t="n"/>
      <c r="D2" s="38" t="n"/>
      <c r="E2" s="38" t="n"/>
      <c r="F2" s="38" t="n"/>
      <c r="G2" s="38" t="n"/>
      <c r="H2" s="38" t="n"/>
      <c r="I2" s="38" t="n"/>
      <c r="J2" s="38" t="n"/>
      <c r="K2" s="38" t="n"/>
      <c r="L2" s="38" t="n"/>
      <c r="M2" s="38" t="n"/>
      <c r="N2" s="39" t="n"/>
    </row>
    <row r="3" ht="60" customHeight="1">
      <c r="A3" s="23" t="inlineStr">
        <is>
          <t>WHY: Data is the ultimate target. DLP, privacy (PDPA Act 709), application security, and secure configuration form layers of protection around the data that NCII systems process.
WHAT GOOD LOOKS LIKE: DLP deployed and integrated with SIEM, PDPA-aligned privacy procedures, OWASP-based secure coding standards, CIS/STIG hardening baselines applied to all systems, FIM monitoring critical files.
KEY RISK IF ABSENT: Data exfiltration, PDPA non-compliance, application vulnerabilities, misconfigured systems as easy targets.</t>
        </is>
      </c>
      <c r="B3" s="38" t="n"/>
      <c r="C3" s="38" t="n"/>
      <c r="D3" s="38" t="n"/>
      <c r="E3" s="38" t="n"/>
      <c r="F3" s="38" t="n"/>
      <c r="G3" s="38" t="n"/>
      <c r="H3" s="38" t="n"/>
      <c r="I3" s="38" t="n"/>
      <c r="J3" s="38" t="n"/>
      <c r="K3" s="38" t="n"/>
      <c r="L3" s="38" t="n"/>
      <c r="M3" s="38" t="n"/>
      <c r="N3" s="39" t="n"/>
    </row>
    <row r="4">
      <c r="A4" s="25" t="inlineStr">
        <is>
          <t>11.1.2</t>
        </is>
      </c>
      <c r="B4" s="25" t="inlineStr">
        <is>
          <t>NACSA-11.1.2</t>
        </is>
      </c>
      <c r="C4" s="25" t="inlineStr">
        <is>
          <t>ORG</t>
        </is>
      </c>
      <c r="D4" s="25" t="inlineStr">
        <is>
          <t>Maintenance of DLP Solution</t>
        </is>
      </c>
      <c r="E4" s="25" t="inlineStr">
        <is>
          <t>Assess 1 mandatory requirement(s)</t>
        </is>
      </c>
      <c r="F4" s="25" t="inlineStr"/>
      <c r="G4" s="25" t="inlineStr"/>
      <c r="H4" s="25" t="inlineStr"/>
      <c r="I4" s="25" t="inlineStr"/>
      <c r="J4" s="25" t="inlineStr"/>
      <c r="K4" s="25" t="inlineStr"/>
      <c r="L4" s="25" t="inlineStr"/>
      <c r="M4" s="26" t="inlineStr"/>
      <c r="N4" s="26" t="inlineStr"/>
    </row>
    <row r="5">
      <c r="A5" s="7" t="inlineStr">
        <is>
          <t>11.1.2.1</t>
        </is>
      </c>
      <c r="B5" s="7" t="inlineStr">
        <is>
          <t>NACSA-11.1.2a</t>
        </is>
      </c>
      <c r="C5" s="7" t="inlineStr"/>
      <c r="D5" s="7" t="inlineStr"/>
      <c r="E5" s="7" t="inlineStr">
        <is>
          <t>Regular maintenance shall be applied to the DLP solution.</t>
        </is>
      </c>
      <c r="F5" s="7" t="inlineStr">
        <is>
          <t>1. Request DLP/data protection documentation.
2. Verify DLP solution deployment scope covers NCII data.
3. Check data classification applied to NCII assets.
4. Review DLP alerts and incidents for the assessment period.</t>
        </is>
      </c>
      <c r="G5" s="7" t="inlineStr">
        <is>
          <t>DLP procedure; DLP deployment evidence; Data classification records; DLP alert logs</t>
        </is>
      </c>
      <c r="H5" s="7" t="inlineStr">
        <is>
          <t>Inspection</t>
        </is>
      </c>
      <c r="I5" s="7" t="inlineStr"/>
      <c r="J5" s="7" t="inlineStr"/>
      <c r="K5" s="7" t="inlineStr"/>
      <c r="L5" s="7" t="inlineStr"/>
      <c r="M5" s="7" t="inlineStr"/>
      <c r="N5" s="7" t="inlineStr"/>
    </row>
    <row r="6">
      <c r="A6" s="25" t="inlineStr">
        <is>
          <t>11.2.1</t>
        </is>
      </c>
      <c r="B6" s="25" t="inlineStr">
        <is>
          <t>NACSA-11.2.1</t>
        </is>
      </c>
      <c r="C6" s="25" t="inlineStr">
        <is>
          <t>ORG</t>
        </is>
      </c>
      <c r="D6" s="25" t="inlineStr">
        <is>
          <t>Establishment of Data Privacy and Protection Procedure</t>
        </is>
      </c>
      <c r="E6" s="25" t="inlineStr">
        <is>
          <t>Assess 1 mandatory requirement(s)</t>
        </is>
      </c>
      <c r="F6" s="25" t="inlineStr"/>
      <c r="G6" s="25" t="inlineStr"/>
      <c r="H6" s="25" t="inlineStr"/>
      <c r="I6" s="25" t="inlineStr"/>
      <c r="J6" s="25" t="inlineStr"/>
      <c r="K6" s="25" t="inlineStr"/>
      <c r="L6" s="25" t="inlineStr"/>
      <c r="M6" s="26" t="inlineStr"/>
      <c r="N6" s="26" t="inlineStr"/>
    </row>
    <row r="7">
      <c r="A7" s="28" t="inlineStr">
        <is>
          <t>11.2.1.1</t>
        </is>
      </c>
      <c r="B7" s="28" t="inlineStr">
        <is>
          <t>NACSA-11.2.1a</t>
        </is>
      </c>
      <c r="C7" s="28" t="inlineStr"/>
      <c r="D7" s="28" t="inlineStr"/>
      <c r="E7" s="28" t="inlineStr">
        <is>
          <t>The NCII entity shall define a comprehensive procedure for managing data privacy and protection, including data manageme...</t>
        </is>
      </c>
      <c r="F7" s="28" t="inlineStr">
        <is>
          <t>1. Request the risk assessment methodology and most recent report.
2. Verify scope includes all NCII systems.
3. Confirm risk identification, analysis, and evaluation steps documented.
4. Check risk register is current with treatment plans.</t>
        </is>
      </c>
      <c r="G7" s="28" t="inlineStr">
        <is>
          <t>Risk assessment methodology; Risk assessment report; Risk register; Risk treatment plan</t>
        </is>
      </c>
      <c r="H7" s="28" t="inlineStr">
        <is>
          <t>Inspection</t>
        </is>
      </c>
      <c r="I7" s="28" t="inlineStr"/>
      <c r="J7" s="28" t="inlineStr"/>
      <c r="K7" s="28" t="inlineStr"/>
      <c r="L7" s="28" t="inlineStr"/>
      <c r="M7" s="28" t="inlineStr"/>
      <c r="N7" s="28" t="inlineStr"/>
    </row>
    <row r="8">
      <c r="A8" s="25" t="inlineStr">
        <is>
          <t>11.2.2</t>
        </is>
      </c>
      <c r="B8" s="25" t="inlineStr">
        <is>
          <t>NACSA-11.2.2</t>
        </is>
      </c>
      <c r="C8" s="25" t="inlineStr">
        <is>
          <t>ORG</t>
        </is>
      </c>
      <c r="D8" s="25" t="inlineStr">
        <is>
          <t>Alignment with Legal and Regulatory Requirements</t>
        </is>
      </c>
      <c r="E8" s="25" t="inlineStr">
        <is>
          <t>Assess 1 mandatory requirement(s)</t>
        </is>
      </c>
      <c r="F8" s="25" t="inlineStr"/>
      <c r="G8" s="25" t="inlineStr"/>
      <c r="H8" s="25" t="inlineStr"/>
      <c r="I8" s="25" t="inlineStr"/>
      <c r="J8" s="25" t="inlineStr"/>
      <c r="K8" s="25" t="inlineStr"/>
      <c r="L8" s="25" t="inlineStr"/>
      <c r="M8" s="26" t="inlineStr"/>
      <c r="N8" s="26" t="inlineStr"/>
    </row>
    <row r="9">
      <c r="A9" s="7" t="inlineStr">
        <is>
          <t>11.2.2.1</t>
        </is>
      </c>
      <c r="B9" s="7" t="inlineStr">
        <is>
          <t>NACSA-11.2.2a</t>
        </is>
      </c>
      <c r="C9" s="7" t="inlineStr"/>
      <c r="D9" s="7" t="inlineStr"/>
      <c r="E9" s="7" t="inlineStr">
        <is>
          <t>The data privacy and protection procedure shall comply with applicable laws, regulatory and business requirements, such ...</t>
        </is>
      </c>
      <c r="F9" s="7" t="inlineStr">
        <is>
          <t>1. Request DLP/data protection documentation.
2. Verify DLP solution deployment scope covers NCII data.
3. Check data classification applied to NCII assets.
4. Review DLP alerts and incidents for the assessment period.</t>
        </is>
      </c>
      <c r="G9" s="7" t="inlineStr">
        <is>
          <t>DLP procedure; DLP deployment evidence; Data classification records; DLP alert logs</t>
        </is>
      </c>
      <c r="H9" s="7" t="inlineStr">
        <is>
          <t>Inspection</t>
        </is>
      </c>
      <c r="I9" s="7" t="inlineStr"/>
      <c r="J9" s="7" t="inlineStr"/>
      <c r="K9" s="7" t="inlineStr"/>
      <c r="L9" s="7" t="inlineStr"/>
      <c r="M9" s="7" t="inlineStr"/>
      <c r="N9" s="7" t="inlineStr"/>
    </row>
    <row r="10">
      <c r="A10" s="25" t="inlineStr">
        <is>
          <t>11.2.3</t>
        </is>
      </c>
      <c r="B10" s="25" t="inlineStr">
        <is>
          <t>NACSA-11.2.3</t>
        </is>
      </c>
      <c r="C10" s="25" t="inlineStr">
        <is>
          <t>ORG</t>
        </is>
      </c>
      <c r="D10" s="25" t="inlineStr">
        <is>
          <t>Application of Data Privacy and Protection Procedure</t>
        </is>
      </c>
      <c r="E10" s="25" t="inlineStr">
        <is>
          <t>Assess 1 mandatory requirement(s)</t>
        </is>
      </c>
      <c r="F10" s="25" t="inlineStr"/>
      <c r="G10" s="25" t="inlineStr"/>
      <c r="H10" s="25" t="inlineStr"/>
      <c r="I10" s="25" t="inlineStr"/>
      <c r="J10" s="25" t="inlineStr"/>
      <c r="K10" s="25" t="inlineStr"/>
      <c r="L10" s="25" t="inlineStr"/>
      <c r="M10" s="26" t="inlineStr"/>
      <c r="N10" s="26" t="inlineStr"/>
    </row>
    <row r="11">
      <c r="A11" s="28" t="inlineStr">
        <is>
          <t>11.2.3.1</t>
        </is>
      </c>
      <c r="B11" s="28" t="inlineStr">
        <is>
          <t>NACSA-11.2.3a</t>
        </is>
      </c>
      <c r="C11" s="28" t="inlineStr"/>
      <c r="D11" s="28" t="inlineStr"/>
      <c r="E11" s="28" t="inlineStr">
        <is>
          <t>The procedure shall be applied across the NCII entity that covers:
- All operational processes involving personal or sen...</t>
        </is>
      </c>
      <c r="F11"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11.2.3.1.</t>
        </is>
      </c>
      <c r="G11" s="28" t="inlineStr">
        <is>
          <t>Approved policy/procedure document; Committee approval record; Version history</t>
        </is>
      </c>
      <c r="H11" s="28" t="inlineStr">
        <is>
          <t>Inspection</t>
        </is>
      </c>
      <c r="I11" s="28" t="inlineStr"/>
      <c r="J11" s="28" t="inlineStr"/>
      <c r="K11" s="28" t="inlineStr"/>
      <c r="L11" s="28" t="inlineStr"/>
      <c r="M11" s="28" t="inlineStr"/>
      <c r="N11" s="28" t="inlineStr"/>
    </row>
    <row r="12">
      <c r="A12" s="25" t="inlineStr">
        <is>
          <t>11.2.4</t>
        </is>
      </c>
      <c r="B12" s="25" t="inlineStr">
        <is>
          <t>NACSA-11.2.4</t>
        </is>
      </c>
      <c r="C12" s="25" t="inlineStr">
        <is>
          <t>ORG</t>
        </is>
      </c>
      <c r="D12" s="25" t="inlineStr">
        <is>
          <t>Monitoring Compliance</t>
        </is>
      </c>
      <c r="E12" s="25" t="inlineStr">
        <is>
          <t>Assess 2 mandatory requirement(s)</t>
        </is>
      </c>
      <c r="F12" s="25" t="inlineStr"/>
      <c r="G12" s="25" t="inlineStr"/>
      <c r="H12" s="25" t="inlineStr"/>
      <c r="I12" s="25" t="inlineStr"/>
      <c r="J12" s="25" t="inlineStr"/>
      <c r="K12" s="25" t="inlineStr"/>
      <c r="L12" s="25" t="inlineStr"/>
      <c r="M12" s="26" t="inlineStr"/>
      <c r="N12" s="26" t="inlineStr"/>
    </row>
    <row r="13">
      <c r="A13" s="7" t="inlineStr">
        <is>
          <t>11.2.4.1</t>
        </is>
      </c>
      <c r="B13" s="7" t="inlineStr">
        <is>
          <t>NACSA-11.2.4a</t>
        </is>
      </c>
      <c r="C13" s="7" t="inlineStr"/>
      <c r="D13" s="7" t="inlineStr"/>
      <c r="E13" s="7" t="inlineStr">
        <is>
          <t>Compliance with the data privacy and protection procedure shall be regularly monitored, through audits and assessments o...</t>
        </is>
      </c>
      <c r="F13" s="7" t="inlineStr">
        <is>
          <t>1. Request the most recent audit/assessment report.
2. Verify it was conducted by an approved/qualified party.
3. Confirm submission to CE NACSA within required timeframe.
4. Check that findings are tracked with remediation plans.</t>
        </is>
      </c>
      <c r="G13" s="7" t="inlineStr">
        <is>
          <t>Audit/assessment report; Assessor qualifications/approval; CE submission confirmation; Remediation tracker</t>
        </is>
      </c>
      <c r="H13" s="7" t="inlineStr">
        <is>
          <t>Inspection</t>
        </is>
      </c>
      <c r="I13" s="7" t="inlineStr"/>
      <c r="J13" s="7" t="inlineStr"/>
      <c r="K13" s="7" t="inlineStr"/>
      <c r="L13" s="7" t="inlineStr"/>
      <c r="M13" s="7" t="inlineStr"/>
      <c r="N13" s="7" t="inlineStr"/>
    </row>
    <row r="14">
      <c r="A14" s="28" t="inlineStr">
        <is>
          <t>11.2.4.2</t>
        </is>
      </c>
      <c r="B14" s="28" t="inlineStr">
        <is>
          <t>NACSA-11.2.4b</t>
        </is>
      </c>
      <c r="C14" s="28" t="inlineStr"/>
      <c r="D14" s="28" t="inlineStr"/>
      <c r="E14" s="28" t="inlineStr">
        <is>
          <t>Monitoring shall include:
- Data access logs to detect unauthorised activities.
- Assessments of access controls.
- Peri...</t>
        </is>
      </c>
      <c r="F14" s="28" t="inlineStr">
        <is>
          <t>1. Request training plan and records for the assessment period.
2. Verify training content covers required topics per CoP clause.
3. Check completion rates (target: 100% for mandatory training).
4. Review effectiveness evaluation results (post-training assessments).</t>
        </is>
      </c>
      <c r="G14" s="28" t="inlineStr">
        <is>
          <t>Training plan; Completion records/LMS reports; Assessment results; Training materials</t>
        </is>
      </c>
      <c r="H14" s="28" t="inlineStr">
        <is>
          <t>Inspection</t>
        </is>
      </c>
      <c r="I14" s="28" t="inlineStr"/>
      <c r="J14" s="28" t="inlineStr"/>
      <c r="K14" s="28" t="inlineStr"/>
      <c r="L14" s="28" t="inlineStr"/>
      <c r="M14" s="28" t="inlineStr"/>
      <c r="N14" s="28" t="inlineStr"/>
    </row>
    <row r="15">
      <c r="A15" s="25" t="inlineStr">
        <is>
          <t>11.2.5</t>
        </is>
      </c>
      <c r="B15" s="25" t="inlineStr">
        <is>
          <t>NACSA-11.2.5</t>
        </is>
      </c>
      <c r="C15" s="25" t="inlineStr">
        <is>
          <t>ORG</t>
        </is>
      </c>
      <c r="D15" s="25" t="inlineStr">
        <is>
          <t>Review of Data Privacy and Protection Procedure</t>
        </is>
      </c>
      <c r="E15" s="25" t="inlineStr">
        <is>
          <t>Assess 2 mandatory requirement(s)</t>
        </is>
      </c>
      <c r="F15" s="25" t="inlineStr"/>
      <c r="G15" s="25" t="inlineStr"/>
      <c r="H15" s="25" t="inlineStr"/>
      <c r="I15" s="25" t="inlineStr"/>
      <c r="J15" s="25" t="inlineStr"/>
      <c r="K15" s="25" t="inlineStr"/>
      <c r="L15" s="25" t="inlineStr"/>
      <c r="M15" s="26" t="inlineStr"/>
      <c r="N15" s="26" t="inlineStr"/>
    </row>
    <row r="16">
      <c r="A16" s="7" t="inlineStr">
        <is>
          <t>11.2.5.1</t>
        </is>
      </c>
      <c r="B16" s="7" t="inlineStr">
        <is>
          <t>NACSA-11.2.5a</t>
        </is>
      </c>
      <c r="C16" s="7" t="inlineStr"/>
      <c r="D16" s="7" t="inlineStr"/>
      <c r="E16" s="7" t="inlineStr">
        <is>
          <t>The procedure shall be reviewed at least annually and / or whenever necessary, such as:
- Adoption of new technologies o...</t>
        </is>
      </c>
      <c r="F16" s="7"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16" s="7" t="inlineStr">
        <is>
          <t>Review report/minutes; Updated document post-review; Approval of changes</t>
        </is>
      </c>
      <c r="H16" s="7" t="inlineStr">
        <is>
          <t>Inspection</t>
        </is>
      </c>
      <c r="I16" s="7" t="inlineStr"/>
      <c r="J16" s="7" t="inlineStr"/>
      <c r="K16" s="7" t="inlineStr"/>
      <c r="L16" s="7" t="inlineStr"/>
      <c r="M16" s="7" t="inlineStr"/>
      <c r="N16" s="7" t="inlineStr"/>
    </row>
    <row r="17">
      <c r="A17" s="28" t="inlineStr">
        <is>
          <t>11.2.5.2</t>
        </is>
      </c>
      <c r="B17" s="28" t="inlineStr">
        <is>
          <t>NACSA-11.2.5b</t>
        </is>
      </c>
      <c r="C17" s="28" t="inlineStr"/>
      <c r="D17" s="28" t="inlineStr"/>
      <c r="E17" s="28" t="inlineStr">
        <is>
          <t>Record of all reviews, including findings, recommendations, and implemented changes shall be maintained.</t>
        </is>
      </c>
      <c r="F17" s="28" t="inlineStr">
        <is>
          <t>1. Request NDA templates and signed NDA samples.
2. Verify NDA templates cover required parties.
3. Sample 10 NDAs — confirm signed before information exchange.
4. Check NDA compliance monitoring records.</t>
        </is>
      </c>
      <c r="G17" s="28" t="inlineStr">
        <is>
          <t>NDA templates; Signed NDA samples; Compliance monitoring records</t>
        </is>
      </c>
      <c r="H17" s="28" t="inlineStr">
        <is>
          <t>Inspection</t>
        </is>
      </c>
      <c r="I17" s="28" t="inlineStr"/>
      <c r="J17" s="28" t="inlineStr"/>
      <c r="K17" s="28" t="inlineStr"/>
      <c r="L17" s="28" t="inlineStr"/>
      <c r="M17" s="28" t="inlineStr"/>
      <c r="N17" s="28" t="inlineStr"/>
    </row>
    <row r="18">
      <c r="A18" s="25" t="inlineStr">
        <is>
          <t>11.3.1</t>
        </is>
      </c>
      <c r="B18" s="25" t="inlineStr">
        <is>
          <t>NACSA-11.3.1</t>
        </is>
      </c>
      <c r="C18" s="25" t="inlineStr">
        <is>
          <t>ORG</t>
        </is>
      </c>
      <c r="D18" s="25" t="inlineStr">
        <is>
          <t>Establishment of Guidelines</t>
        </is>
      </c>
      <c r="E18" s="25" t="inlineStr">
        <is>
          <t>Assess 1 mandatory requirement(s)</t>
        </is>
      </c>
      <c r="F18" s="25" t="inlineStr"/>
      <c r="G18" s="25" t="inlineStr"/>
      <c r="H18" s="25" t="inlineStr"/>
      <c r="I18" s="25" t="inlineStr"/>
      <c r="J18" s="25" t="inlineStr"/>
      <c r="K18" s="25" t="inlineStr"/>
      <c r="L18" s="25" t="inlineStr"/>
      <c r="M18" s="26" t="inlineStr"/>
      <c r="N18" s="26" t="inlineStr"/>
    </row>
    <row r="19">
      <c r="A19" s="7" t="inlineStr">
        <is>
          <t>11.3.1.1</t>
        </is>
      </c>
      <c r="B19" s="7" t="inlineStr">
        <is>
          <t>NACSA-11.3.1a</t>
        </is>
      </c>
      <c r="C19" s="7" t="inlineStr"/>
      <c r="D19" s="7" t="inlineStr"/>
      <c r="E19" s="7" t="inlineStr">
        <is>
          <t>The NCII entity shall establish cyber security guidelines for the development of software and system / application that ...</t>
        </is>
      </c>
      <c r="F19"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11.3.1.1.</t>
        </is>
      </c>
      <c r="G19" s="7" t="inlineStr">
        <is>
          <t>Approved policy/procedure document; Committee approval record; Version history</t>
        </is>
      </c>
      <c r="H19" s="7" t="inlineStr">
        <is>
          <t>Inspection</t>
        </is>
      </c>
      <c r="I19" s="7" t="inlineStr"/>
      <c r="J19" s="7" t="inlineStr"/>
      <c r="K19" s="7" t="inlineStr"/>
      <c r="L19" s="7" t="inlineStr"/>
      <c r="M19" s="7" t="inlineStr"/>
      <c r="N19" s="7" t="inlineStr"/>
    </row>
    <row r="20">
      <c r="A20" s="25" t="inlineStr">
        <is>
          <t>11.3.3</t>
        </is>
      </c>
      <c r="B20" s="25" t="inlineStr">
        <is>
          <t>NACSA-11.3.3</t>
        </is>
      </c>
      <c r="C20" s="25" t="inlineStr">
        <is>
          <t>ORG</t>
        </is>
      </c>
      <c r="D20" s="25" t="inlineStr">
        <is>
          <t>Requirement Identification, Specification and Approval</t>
        </is>
      </c>
      <c r="E20" s="25" t="inlineStr">
        <is>
          <t>Assess 1 mandatory requirement(s)</t>
        </is>
      </c>
      <c r="F20" s="25" t="inlineStr"/>
      <c r="G20" s="25" t="inlineStr"/>
      <c r="H20" s="25" t="inlineStr"/>
      <c r="I20" s="25" t="inlineStr"/>
      <c r="J20" s="25" t="inlineStr"/>
      <c r="K20" s="25" t="inlineStr"/>
      <c r="L20" s="25" t="inlineStr"/>
      <c r="M20" s="26" t="inlineStr"/>
      <c r="N20" s="26" t="inlineStr"/>
    </row>
    <row r="21">
      <c r="A21" s="28" t="inlineStr">
        <is>
          <t>11.3.3.1</t>
        </is>
      </c>
      <c r="B21" s="28" t="inlineStr">
        <is>
          <t>NACSA-11.3.3a</t>
        </is>
      </c>
      <c r="C21" s="28" t="inlineStr"/>
      <c r="D21" s="28" t="inlineStr"/>
      <c r="E21" s="28" t="inlineStr">
        <is>
          <t>Cyber security requirements for each software and system / application shall be identified and specified during developm...</t>
        </is>
      </c>
      <c r="F21"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11.3.3.1.</t>
        </is>
      </c>
      <c r="G21" s="28" t="inlineStr">
        <is>
          <t>Approved policy/procedure document; Committee approval record; Version history</t>
        </is>
      </c>
      <c r="H21" s="28" t="inlineStr">
        <is>
          <t>Inspection</t>
        </is>
      </c>
      <c r="I21" s="28" t="inlineStr"/>
      <c r="J21" s="28" t="inlineStr"/>
      <c r="K21" s="28" t="inlineStr"/>
      <c r="L21" s="28" t="inlineStr"/>
      <c r="M21" s="28" t="inlineStr"/>
      <c r="N21" s="28" t="inlineStr"/>
    </row>
    <row r="22">
      <c r="A22" s="25" t="inlineStr">
        <is>
          <t>11.4.1</t>
        </is>
      </c>
      <c r="B22" s="25" t="inlineStr">
        <is>
          <t>NACSA-11.4.1</t>
        </is>
      </c>
      <c r="C22" s="25" t="inlineStr">
        <is>
          <t>ORG</t>
        </is>
      </c>
      <c r="D22" s="25" t="inlineStr">
        <is>
          <t>Establishment of Configuration Procedures</t>
        </is>
      </c>
      <c r="E22" s="25" t="inlineStr">
        <is>
          <t>Assess 2 mandatory requirement(s)</t>
        </is>
      </c>
      <c r="F22" s="25" t="inlineStr"/>
      <c r="G22" s="25" t="inlineStr"/>
      <c r="H22" s="25" t="inlineStr"/>
      <c r="I22" s="25" t="inlineStr"/>
      <c r="J22" s="25" t="inlineStr"/>
      <c r="K22" s="25" t="inlineStr"/>
      <c r="L22" s="25" t="inlineStr"/>
      <c r="M22" s="26" t="inlineStr"/>
      <c r="N22" s="26" t="inlineStr"/>
    </row>
    <row r="23">
      <c r="A23" s="7" t="inlineStr">
        <is>
          <t>11.4.1.1</t>
        </is>
      </c>
      <c r="B23" s="7" t="inlineStr">
        <is>
          <t>NACSA-11.4.1a</t>
        </is>
      </c>
      <c r="C23" s="7" t="inlineStr"/>
      <c r="D23" s="7" t="inlineStr"/>
      <c r="E23" s="7" t="inlineStr">
        <is>
          <t>NCII entity shall establish a configuration procedure that defines the baseline for the technologies used across the fol...</t>
        </is>
      </c>
      <c r="F23" s="7" t="inlineStr">
        <is>
          <t>1. Request the current procedure document with approval records.
2. Verify it is formally approved by the governance committee or top management (check signatures, dates).
3. Confirm it addresses all elements specified in this clause.
4. Verify version control is maintained with change history.</t>
        </is>
      </c>
      <c r="G23" s="7" t="inlineStr">
        <is>
          <t>Approved policy/procedure document; Committee approval record; Version history</t>
        </is>
      </c>
      <c r="H23" s="7" t="inlineStr">
        <is>
          <t>Inspection</t>
        </is>
      </c>
      <c r="I23" s="7" t="inlineStr"/>
      <c r="J23" s="7" t="inlineStr"/>
      <c r="K23" s="7" t="inlineStr"/>
      <c r="L23" s="7" t="inlineStr"/>
      <c r="M23" s="7" t="inlineStr"/>
      <c r="N23" s="7" t="inlineStr"/>
    </row>
    <row r="24">
      <c r="A24" s="28" t="inlineStr">
        <is>
          <t>11.4.1.2</t>
        </is>
      </c>
      <c r="B24" s="28" t="inlineStr">
        <is>
          <t>NACSA-11.4.1b</t>
        </is>
      </c>
      <c r="C24" s="28" t="inlineStr"/>
      <c r="D24" s="28" t="inlineStr"/>
      <c r="E24" s="28" t="inlineStr">
        <is>
          <t>In the event of the unavailability of the configuration guidelines for a specific technology, the NCII entity's IT depar...</t>
        </is>
      </c>
      <c r="F24" s="28" t="inlineStr">
        <is>
          <t>1. Request the monitoring procedure/SMP.
2. Verify monitoring tools deployed (SIEM, IDPS, EDR).
3. Check log source coverage includes all NCII systems.
4. Review MTTD/MTTR KPI performance for the assessment period.</t>
        </is>
      </c>
      <c r="G24" s="28" t="inlineStr">
        <is>
          <t>Monitoring procedure; Tool deployment evidence; Log source inventory; KPI dashboard/reports</t>
        </is>
      </c>
      <c r="H24" s="28" t="inlineStr">
        <is>
          <t>Inspection</t>
        </is>
      </c>
      <c r="I24" s="28" t="inlineStr"/>
      <c r="J24" s="28" t="inlineStr"/>
      <c r="K24" s="28" t="inlineStr"/>
      <c r="L24" s="28" t="inlineStr"/>
      <c r="M24" s="28" t="inlineStr"/>
      <c r="N24" s="28" t="inlineStr"/>
    </row>
    <row r="25"/>
    <row r="26">
      <c r="A26" s="21" t="inlineStr">
        <is>
          <t>CoP 11.0 — Data Security (System-Level: per NCII system)</t>
        </is>
      </c>
      <c r="B26" s="38" t="n"/>
      <c r="C26" s="38" t="n"/>
      <c r="D26" s="38" t="n"/>
      <c r="E26" s="38" t="n"/>
      <c r="F26" s="38" t="n"/>
      <c r="G26" s="38" t="n"/>
      <c r="H26" s="38" t="n"/>
      <c r="I26" s="38" t="n"/>
      <c r="J26" s="38" t="n"/>
      <c r="K26" s="38" t="n"/>
      <c r="L26" s="38" t="n"/>
      <c r="M26" s="38" t="n"/>
      <c r="N26" s="39" t="n"/>
    </row>
    <row r="27">
      <c r="A27" s="29" t="inlineStr">
        <is>
          <t>11.1.1</t>
        </is>
      </c>
      <c r="B27" s="29" t="inlineStr">
        <is>
          <t>NACSA-11.1.1-NCII-SYS-001</t>
        </is>
      </c>
      <c r="C27" s="29" t="inlineStr">
        <is>
          <t>SYSTEM</t>
        </is>
      </c>
      <c r="D27" s="29" t="inlineStr">
        <is>
          <t>Implementation of DLP Solution</t>
        </is>
      </c>
      <c r="E27" s="29" t="inlineStr">
        <is>
          <t>[System 1]: Assess 2 mandatory requirement(s)</t>
        </is>
      </c>
      <c r="F27" s="29" t="inlineStr"/>
      <c r="G27" s="29" t="inlineStr"/>
      <c r="H27" s="29" t="inlineStr"/>
      <c r="I27" s="29" t="inlineStr"/>
      <c r="J27" s="29" t="inlineStr"/>
      <c r="K27" s="29" t="inlineStr"/>
      <c r="L27" s="29" t="inlineStr"/>
      <c r="M27" s="26" t="inlineStr"/>
      <c r="N27" s="26" t="inlineStr"/>
    </row>
    <row r="28">
      <c r="A28" s="7" t="inlineStr">
        <is>
          <t>11.1.1.1</t>
        </is>
      </c>
      <c r="B28" s="7" t="inlineStr">
        <is>
          <t>NACSA-11.1.1a-NCII-SYS-001</t>
        </is>
      </c>
      <c r="C28" s="7" t="inlineStr"/>
      <c r="D28" s="7" t="inlineStr"/>
      <c r="E28" s="7" t="inlineStr">
        <is>
          <t>[System 1]: The NCII entity shall implement a DLP solution across its organisation, to safeguard sensitive data ...</t>
        </is>
      </c>
      <c r="F28" s="7" t="inlineStr">
        <is>
          <t>1. Request DLP/data protection documentation.
2. Verify DLP solution deployment scope covers NCII data.
3. Check data classification applied to NCII assets.
4. Review DLP alerts and incidents for the assessment period.</t>
        </is>
      </c>
      <c r="G28" s="7" t="inlineStr">
        <is>
          <t>DLP procedure; DLP deployment evidence; Data classification records; DLP alert logs</t>
        </is>
      </c>
      <c r="H28" s="7" t="inlineStr">
        <is>
          <t>Inspection</t>
        </is>
      </c>
      <c r="I28" s="7" t="inlineStr"/>
      <c r="J28" s="7" t="inlineStr"/>
      <c r="K28" s="7" t="inlineStr"/>
      <c r="L28" s="7" t="inlineStr"/>
      <c r="M28" s="7" t="inlineStr"/>
      <c r="N28" s="7" t="inlineStr"/>
    </row>
    <row r="29">
      <c r="A29" s="28" t="inlineStr">
        <is>
          <t>11.1.1.2</t>
        </is>
      </c>
      <c r="B29" s="28" t="inlineStr">
        <is>
          <t>NACSA-11.1.1b-NCII-SYS-001</t>
        </is>
      </c>
      <c r="C29" s="28" t="inlineStr"/>
      <c r="D29" s="28" t="inlineStr"/>
      <c r="E29" s="28" t="inlineStr">
        <is>
          <t>[System 1]: The DLP solution shall include:
- Endpoint protection for monitoring data transfers via devices (USB...</t>
        </is>
      </c>
      <c r="F29" s="28" t="inlineStr">
        <is>
          <t>1. Request the monitoring procedure/SMP.
2. Verify monitoring tools deployed (SIEM, IDPS, EDR).
3. Check log source coverage includes all NCII systems.
4. Review MTTD/MTTR KPI performance for the assessment period.</t>
        </is>
      </c>
      <c r="G29" s="28" t="inlineStr">
        <is>
          <t>Monitoring procedure; Tool deployment evidence; Log source inventory; KPI dashboard/reports</t>
        </is>
      </c>
      <c r="H29" s="28" t="inlineStr">
        <is>
          <t>Inspection</t>
        </is>
      </c>
      <c r="I29" s="28" t="inlineStr"/>
      <c r="J29" s="28" t="inlineStr"/>
      <c r="K29" s="28" t="inlineStr"/>
      <c r="L29" s="28" t="inlineStr"/>
      <c r="M29" s="28" t="inlineStr"/>
      <c r="N29" s="28" t="inlineStr"/>
    </row>
    <row r="30">
      <c r="A30" s="29" t="inlineStr">
        <is>
          <t>11.1.1</t>
        </is>
      </c>
      <c r="B30" s="29" t="inlineStr">
        <is>
          <t>NACSA-11.1.1-NCII-SYS-002</t>
        </is>
      </c>
      <c r="C30" s="29" t="inlineStr">
        <is>
          <t>SYSTEM</t>
        </is>
      </c>
      <c r="D30" s="29" t="inlineStr">
        <is>
          <t>Implementation of DLP Solution</t>
        </is>
      </c>
      <c r="E30" s="29" t="inlineStr">
        <is>
          <t>[System 2]: Assess 2 mandatory requirement(s)</t>
        </is>
      </c>
      <c r="F30" s="29" t="inlineStr"/>
      <c r="G30" s="29" t="inlineStr"/>
      <c r="H30" s="29" t="inlineStr"/>
      <c r="I30" s="29" t="inlineStr"/>
      <c r="J30" s="29" t="inlineStr"/>
      <c r="K30" s="29" t="inlineStr"/>
      <c r="L30" s="29" t="inlineStr"/>
      <c r="M30" s="26" t="inlineStr"/>
      <c r="N30" s="26" t="inlineStr"/>
    </row>
    <row r="31">
      <c r="A31" s="7" t="inlineStr">
        <is>
          <t>11.1.1.1</t>
        </is>
      </c>
      <c r="B31" s="7" t="inlineStr">
        <is>
          <t>NACSA-11.1.1a-NCII-SYS-002</t>
        </is>
      </c>
      <c r="C31" s="7" t="inlineStr"/>
      <c r="D31" s="7" t="inlineStr"/>
      <c r="E31" s="7" t="inlineStr">
        <is>
          <t>[System 2]: The NCII entity shall implement a DLP solution across its organisation, to safeguard sensitive data ...</t>
        </is>
      </c>
      <c r="F31" s="7" t="inlineStr">
        <is>
          <t>1. Request DLP/data protection documentation.
2. Verify DLP solution deployment scope covers NCII data.
3. Check data classification applied to NCII assets.
4. Review DLP alerts and incidents for the assessment period.</t>
        </is>
      </c>
      <c r="G31" s="7" t="inlineStr">
        <is>
          <t>DLP procedure; DLP deployment evidence; Data classification records; DLP alert logs</t>
        </is>
      </c>
      <c r="H31" s="7" t="inlineStr">
        <is>
          <t>Inspection</t>
        </is>
      </c>
      <c r="I31" s="7" t="inlineStr"/>
      <c r="J31" s="7" t="inlineStr"/>
      <c r="K31" s="7" t="inlineStr"/>
      <c r="L31" s="7" t="inlineStr"/>
      <c r="M31" s="7" t="inlineStr"/>
      <c r="N31" s="7" t="inlineStr"/>
    </row>
    <row r="32">
      <c r="A32" s="28" t="inlineStr">
        <is>
          <t>11.1.1.2</t>
        </is>
      </c>
      <c r="B32" s="28" t="inlineStr">
        <is>
          <t>NACSA-11.1.1b-NCII-SYS-002</t>
        </is>
      </c>
      <c r="C32" s="28" t="inlineStr"/>
      <c r="D32" s="28" t="inlineStr"/>
      <c r="E32" s="28" t="inlineStr">
        <is>
          <t>[System 2]: The DLP solution shall include:
- Endpoint protection for monitoring data transfers via devices (USB...</t>
        </is>
      </c>
      <c r="F32" s="28" t="inlineStr">
        <is>
          <t>1. Request the monitoring procedure/SMP.
2. Verify monitoring tools deployed (SIEM, IDPS, EDR).
3. Check log source coverage includes all NCII systems.
4. Review MTTD/MTTR KPI performance for the assessment period.</t>
        </is>
      </c>
      <c r="G32" s="28" t="inlineStr">
        <is>
          <t>Monitoring procedure; Tool deployment evidence; Log source inventory; KPI dashboard/reports</t>
        </is>
      </c>
      <c r="H32" s="28" t="inlineStr">
        <is>
          <t>Inspection</t>
        </is>
      </c>
      <c r="I32" s="28" t="inlineStr"/>
      <c r="J32" s="28" t="inlineStr"/>
      <c r="K32" s="28" t="inlineStr"/>
      <c r="L32" s="28" t="inlineStr"/>
      <c r="M32" s="28" t="inlineStr"/>
      <c r="N32" s="28" t="inlineStr"/>
    </row>
    <row r="33">
      <c r="A33" s="29" t="inlineStr">
        <is>
          <t>11.1.1</t>
        </is>
      </c>
      <c r="B33" s="29" t="inlineStr">
        <is>
          <t>NACSA-11.1.1-NCII-SYS-003</t>
        </is>
      </c>
      <c r="C33" s="29" t="inlineStr">
        <is>
          <t>SYSTEM</t>
        </is>
      </c>
      <c r="D33" s="29" t="inlineStr">
        <is>
          <t>Implementation of DLP Solution</t>
        </is>
      </c>
      <c r="E33" s="29" t="inlineStr">
        <is>
          <t>[System 3]: Assess 2 mandatory requirement(s)</t>
        </is>
      </c>
      <c r="F33" s="29" t="inlineStr"/>
      <c r="G33" s="29" t="inlineStr"/>
      <c r="H33" s="29" t="inlineStr"/>
      <c r="I33" s="29" t="inlineStr"/>
      <c r="J33" s="29" t="inlineStr"/>
      <c r="K33" s="29" t="inlineStr"/>
      <c r="L33" s="29" t="inlineStr"/>
      <c r="M33" s="26" t="inlineStr"/>
      <c r="N33" s="26" t="inlineStr"/>
    </row>
    <row r="34">
      <c r="A34" s="7" t="inlineStr">
        <is>
          <t>11.1.1.1</t>
        </is>
      </c>
      <c r="B34" s="7" t="inlineStr">
        <is>
          <t>NACSA-11.1.1a-NCII-SYS-003</t>
        </is>
      </c>
      <c r="C34" s="7" t="inlineStr"/>
      <c r="D34" s="7" t="inlineStr"/>
      <c r="E34" s="7" t="inlineStr">
        <is>
          <t>[System 3]: The NCII entity shall implement a DLP solution across its organisation, to safeguard sensitive data ...</t>
        </is>
      </c>
      <c r="F34" s="7" t="inlineStr">
        <is>
          <t>1. Request DLP/data protection documentation.
2. Verify DLP solution deployment scope covers NCII data.
3. Check data classification applied to NCII assets.
4. Review DLP alerts and incidents for the assessment period.</t>
        </is>
      </c>
      <c r="G34" s="7" t="inlineStr">
        <is>
          <t>DLP procedure; DLP deployment evidence; Data classification records; DLP alert logs</t>
        </is>
      </c>
      <c r="H34" s="7" t="inlineStr">
        <is>
          <t>Inspection</t>
        </is>
      </c>
      <c r="I34" s="7" t="inlineStr"/>
      <c r="J34" s="7" t="inlineStr"/>
      <c r="K34" s="7" t="inlineStr"/>
      <c r="L34" s="7" t="inlineStr"/>
      <c r="M34" s="7" t="inlineStr"/>
      <c r="N34" s="7" t="inlineStr"/>
    </row>
    <row r="35">
      <c r="A35" s="28" t="inlineStr">
        <is>
          <t>11.1.1.2</t>
        </is>
      </c>
      <c r="B35" s="28" t="inlineStr">
        <is>
          <t>NACSA-11.1.1b-NCII-SYS-003</t>
        </is>
      </c>
      <c r="C35" s="28" t="inlineStr"/>
      <c r="D35" s="28" t="inlineStr"/>
      <c r="E35" s="28" t="inlineStr">
        <is>
          <t>[System 3]: The DLP solution shall include:
- Endpoint protection for monitoring data transfers via devices (USB...</t>
        </is>
      </c>
      <c r="F35" s="28" t="inlineStr">
        <is>
          <t>1. Request the monitoring procedure/SMP.
2. Verify monitoring tools deployed (SIEM, IDPS, EDR).
3. Check log source coverage includes all NCII systems.
4. Review MTTD/MTTR KPI performance for the assessment period.</t>
        </is>
      </c>
      <c r="G35" s="28" t="inlineStr">
        <is>
          <t>Monitoring procedure; Tool deployment evidence; Log source inventory; KPI dashboard/reports</t>
        </is>
      </c>
      <c r="H35" s="28" t="inlineStr">
        <is>
          <t>Inspection</t>
        </is>
      </c>
      <c r="I35" s="28" t="inlineStr"/>
      <c r="J35" s="28" t="inlineStr"/>
      <c r="K35" s="28" t="inlineStr"/>
      <c r="L35" s="28" t="inlineStr"/>
      <c r="M35" s="28" t="inlineStr"/>
      <c r="N35" s="28" t="inlineStr"/>
    </row>
    <row r="36">
      <c r="A36" s="29" t="inlineStr">
        <is>
          <t>11.1.3</t>
        </is>
      </c>
      <c r="B36" s="29" t="inlineStr">
        <is>
          <t>NACSA-11.1.3-NCII-SYS-001</t>
        </is>
      </c>
      <c r="C36" s="29" t="inlineStr">
        <is>
          <t>SYSTEM</t>
        </is>
      </c>
      <c r="D36" s="29" t="inlineStr">
        <is>
          <t>Integration with Security Information and Event Monitoring (SIEM)</t>
        </is>
      </c>
      <c r="E36" s="29" t="inlineStr">
        <is>
          <t>[System 1]: Assess 1 mandatory requirement(s)</t>
        </is>
      </c>
      <c r="F36" s="29" t="inlineStr"/>
      <c r="G36" s="29" t="inlineStr"/>
      <c r="H36" s="29" t="inlineStr"/>
      <c r="I36" s="29" t="inlineStr"/>
      <c r="J36" s="29" t="inlineStr"/>
      <c r="K36" s="29" t="inlineStr"/>
      <c r="L36" s="29" t="inlineStr"/>
      <c r="M36" s="26" t="inlineStr"/>
      <c r="N36" s="26" t="inlineStr"/>
    </row>
    <row r="37">
      <c r="A37" s="7" t="inlineStr">
        <is>
          <t>11.1.3.1</t>
        </is>
      </c>
      <c r="B37" s="7" t="inlineStr">
        <is>
          <t>NACSA-11.1.3a-NCII-SYS-001</t>
        </is>
      </c>
      <c r="C37" s="7" t="inlineStr"/>
      <c r="D37" s="7" t="inlineStr"/>
      <c r="E37" s="7" t="inlineStr">
        <is>
          <t>[System 1]: NCII entity shall ensure that DLP logs is integrated seamlessly with the SIEM tool to:
- Provide cen...</t>
        </is>
      </c>
      <c r="F37" s="7" t="inlineStr">
        <is>
          <t>1. Request the monitoring procedure/SMP.
2. Verify monitoring tools deployed (SIEM, IDPS, EDR).
3. Check log source coverage includes all NCII systems.
4. Review MTTD/MTTR KPI performance for the assessment period.</t>
        </is>
      </c>
      <c r="G37" s="7" t="inlineStr">
        <is>
          <t>Monitoring procedure; Tool deployment evidence; Log source inventory; KPI dashboard/reports</t>
        </is>
      </c>
      <c r="H37" s="7" t="inlineStr">
        <is>
          <t>Inspection</t>
        </is>
      </c>
      <c r="I37" s="7" t="inlineStr"/>
      <c r="J37" s="7" t="inlineStr"/>
      <c r="K37" s="7" t="inlineStr"/>
      <c r="L37" s="7" t="inlineStr"/>
      <c r="M37" s="7" t="inlineStr"/>
      <c r="N37" s="7" t="inlineStr"/>
    </row>
    <row r="38">
      <c r="A38" s="29" t="inlineStr">
        <is>
          <t>11.1.3</t>
        </is>
      </c>
      <c r="B38" s="29" t="inlineStr">
        <is>
          <t>NACSA-11.1.3-NCII-SYS-002</t>
        </is>
      </c>
      <c r="C38" s="29" t="inlineStr">
        <is>
          <t>SYSTEM</t>
        </is>
      </c>
      <c r="D38" s="29" t="inlineStr">
        <is>
          <t>Integration with Security Information and Event Monitoring (SIEM)</t>
        </is>
      </c>
      <c r="E38" s="29" t="inlineStr">
        <is>
          <t>[System 2]: Assess 1 mandatory requirement(s)</t>
        </is>
      </c>
      <c r="F38" s="29" t="inlineStr"/>
      <c r="G38" s="29" t="inlineStr"/>
      <c r="H38" s="29" t="inlineStr"/>
      <c r="I38" s="29" t="inlineStr"/>
      <c r="J38" s="29" t="inlineStr"/>
      <c r="K38" s="29" t="inlineStr"/>
      <c r="L38" s="29" t="inlineStr"/>
      <c r="M38" s="26" t="inlineStr"/>
      <c r="N38" s="26" t="inlineStr"/>
    </row>
    <row r="39">
      <c r="A39" s="28" t="inlineStr">
        <is>
          <t>11.1.3.1</t>
        </is>
      </c>
      <c r="B39" s="28" t="inlineStr">
        <is>
          <t>NACSA-11.1.3a-NCII-SYS-002</t>
        </is>
      </c>
      <c r="C39" s="28" t="inlineStr"/>
      <c r="D39" s="28" t="inlineStr"/>
      <c r="E39" s="28" t="inlineStr">
        <is>
          <t>[System 2]: NCII entity shall ensure that DLP logs is integrated seamlessly with the SIEM tool to:
- Provide cen...</t>
        </is>
      </c>
      <c r="F39" s="28" t="inlineStr">
        <is>
          <t>1. Request the monitoring procedure/SMP.
2. Verify monitoring tools deployed (SIEM, IDPS, EDR).
3. Check log source coverage includes all NCII systems.
4. Review MTTD/MTTR KPI performance for the assessment period.</t>
        </is>
      </c>
      <c r="G39" s="28" t="inlineStr">
        <is>
          <t>Monitoring procedure; Tool deployment evidence; Log source inventory; KPI dashboard/reports</t>
        </is>
      </c>
      <c r="H39" s="28" t="inlineStr">
        <is>
          <t>Inspection</t>
        </is>
      </c>
      <c r="I39" s="28" t="inlineStr"/>
      <c r="J39" s="28" t="inlineStr"/>
      <c r="K39" s="28" t="inlineStr"/>
      <c r="L39" s="28" t="inlineStr"/>
      <c r="M39" s="28" t="inlineStr"/>
      <c r="N39" s="28" t="inlineStr"/>
    </row>
    <row r="40">
      <c r="A40" s="29" t="inlineStr">
        <is>
          <t>11.1.3</t>
        </is>
      </c>
      <c r="B40" s="29" t="inlineStr">
        <is>
          <t>NACSA-11.1.3-NCII-SYS-003</t>
        </is>
      </c>
      <c r="C40" s="29" t="inlineStr">
        <is>
          <t>SYSTEM</t>
        </is>
      </c>
      <c r="D40" s="29" t="inlineStr">
        <is>
          <t>Integration with Security Information and Event Monitoring (SIEM)</t>
        </is>
      </c>
      <c r="E40" s="29" t="inlineStr">
        <is>
          <t>[System 3]: Assess 1 mandatory requirement(s)</t>
        </is>
      </c>
      <c r="F40" s="29" t="inlineStr"/>
      <c r="G40" s="29" t="inlineStr"/>
      <c r="H40" s="29" t="inlineStr"/>
      <c r="I40" s="29" t="inlineStr"/>
      <c r="J40" s="29" t="inlineStr"/>
      <c r="K40" s="29" t="inlineStr"/>
      <c r="L40" s="29" t="inlineStr"/>
      <c r="M40" s="26" t="inlineStr"/>
      <c r="N40" s="26" t="inlineStr"/>
    </row>
    <row r="41">
      <c r="A41" s="7" t="inlineStr">
        <is>
          <t>11.1.3.1</t>
        </is>
      </c>
      <c r="B41" s="7" t="inlineStr">
        <is>
          <t>NACSA-11.1.3a-NCII-SYS-003</t>
        </is>
      </c>
      <c r="C41" s="7" t="inlineStr"/>
      <c r="D41" s="7" t="inlineStr"/>
      <c r="E41" s="7" t="inlineStr">
        <is>
          <t>[System 3]: NCII entity shall ensure that DLP logs is integrated seamlessly with the SIEM tool to:
- Provide cen...</t>
        </is>
      </c>
      <c r="F41" s="7" t="inlineStr">
        <is>
          <t>1. Request the monitoring procedure/SMP.
2. Verify monitoring tools deployed (SIEM, IDPS, EDR).
3. Check log source coverage includes all NCII systems.
4. Review MTTD/MTTR KPI performance for the assessment period.</t>
        </is>
      </c>
      <c r="G41" s="7" t="inlineStr">
        <is>
          <t>Monitoring procedure; Tool deployment evidence; Log source inventory; KPI dashboard/reports</t>
        </is>
      </c>
      <c r="H41" s="7" t="inlineStr">
        <is>
          <t>Inspection</t>
        </is>
      </c>
      <c r="I41" s="7" t="inlineStr"/>
      <c r="J41" s="7" t="inlineStr"/>
      <c r="K41" s="7" t="inlineStr"/>
      <c r="L41" s="7" t="inlineStr"/>
      <c r="M41" s="7" t="inlineStr"/>
      <c r="N41" s="7" t="inlineStr"/>
    </row>
    <row r="42">
      <c r="A42" s="29" t="inlineStr">
        <is>
          <t>11.3.2</t>
        </is>
      </c>
      <c r="B42" s="29" t="inlineStr">
        <is>
          <t>NACSA-11.3.2-NCII-SYS-001</t>
        </is>
      </c>
      <c r="C42" s="29" t="inlineStr">
        <is>
          <t>SYSTEM</t>
        </is>
      </c>
      <c r="D42" s="29" t="inlineStr">
        <is>
          <t>Implementation of Guidelines</t>
        </is>
      </c>
      <c r="E42" s="29" t="inlineStr">
        <is>
          <t>[System 1]: Assess 1 mandatory requirement(s)</t>
        </is>
      </c>
      <c r="F42" s="29" t="inlineStr"/>
      <c r="G42" s="29" t="inlineStr"/>
      <c r="H42" s="29" t="inlineStr"/>
      <c r="I42" s="29" t="inlineStr"/>
      <c r="J42" s="29" t="inlineStr"/>
      <c r="K42" s="29" t="inlineStr"/>
      <c r="L42" s="29" t="inlineStr"/>
      <c r="M42" s="26" t="inlineStr"/>
      <c r="N42" s="26" t="inlineStr"/>
    </row>
    <row r="43">
      <c r="A43" s="28" t="inlineStr">
        <is>
          <t>11.3.2.1</t>
        </is>
      </c>
      <c r="B43" s="28" t="inlineStr">
        <is>
          <t>NACSA-11.3.2a-NCII-SYS-001</t>
        </is>
      </c>
      <c r="C43" s="28" t="inlineStr"/>
      <c r="D43" s="28" t="inlineStr"/>
      <c r="E43" s="28" t="inlineStr">
        <is>
          <t>[System 1]: The guidelines shall be enforced during the acquisition of software and system / application, either...</t>
        </is>
      </c>
      <c r="F43"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11.3.2.1.</t>
        </is>
      </c>
      <c r="G43" s="28" t="inlineStr">
        <is>
          <t>Approved policy/procedure document; Committee approval record; Version history</t>
        </is>
      </c>
      <c r="H43" s="28" t="inlineStr">
        <is>
          <t>Inspection</t>
        </is>
      </c>
      <c r="I43" s="28" t="inlineStr"/>
      <c r="J43" s="28" t="inlineStr"/>
      <c r="K43" s="28" t="inlineStr"/>
      <c r="L43" s="28" t="inlineStr"/>
      <c r="M43" s="28" t="inlineStr"/>
      <c r="N43" s="28" t="inlineStr"/>
    </row>
    <row r="44">
      <c r="A44" s="29" t="inlineStr">
        <is>
          <t>11.3.2</t>
        </is>
      </c>
      <c r="B44" s="29" t="inlineStr">
        <is>
          <t>NACSA-11.3.2-NCII-SYS-002</t>
        </is>
      </c>
      <c r="C44" s="29" t="inlineStr">
        <is>
          <t>SYSTEM</t>
        </is>
      </c>
      <c r="D44" s="29" t="inlineStr">
        <is>
          <t>Implementation of Guidelines</t>
        </is>
      </c>
      <c r="E44" s="29" t="inlineStr">
        <is>
          <t>[System 2]: Assess 1 mandatory requirement(s)</t>
        </is>
      </c>
      <c r="F44" s="29" t="inlineStr"/>
      <c r="G44" s="29" t="inlineStr"/>
      <c r="H44" s="29" t="inlineStr"/>
      <c r="I44" s="29" t="inlineStr"/>
      <c r="J44" s="29" t="inlineStr"/>
      <c r="K44" s="29" t="inlineStr"/>
      <c r="L44" s="29" t="inlineStr"/>
      <c r="M44" s="26" t="inlineStr"/>
      <c r="N44" s="26" t="inlineStr"/>
    </row>
    <row r="45">
      <c r="A45" s="7" t="inlineStr">
        <is>
          <t>11.3.2.1</t>
        </is>
      </c>
      <c r="B45" s="7" t="inlineStr">
        <is>
          <t>NACSA-11.3.2a-NCII-SYS-002</t>
        </is>
      </c>
      <c r="C45" s="7" t="inlineStr"/>
      <c r="D45" s="7" t="inlineStr"/>
      <c r="E45" s="7" t="inlineStr">
        <is>
          <t>[System 2]: The guidelines shall be enforced during the acquisition of software and system / application, either...</t>
        </is>
      </c>
      <c r="F45"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11.3.2.1.</t>
        </is>
      </c>
      <c r="G45" s="7" t="inlineStr">
        <is>
          <t>Approved policy/procedure document; Committee approval record; Version history</t>
        </is>
      </c>
      <c r="H45" s="7" t="inlineStr">
        <is>
          <t>Inspection</t>
        </is>
      </c>
      <c r="I45" s="7" t="inlineStr"/>
      <c r="J45" s="7" t="inlineStr"/>
      <c r="K45" s="7" t="inlineStr"/>
      <c r="L45" s="7" t="inlineStr"/>
      <c r="M45" s="7" t="inlineStr"/>
      <c r="N45" s="7" t="inlineStr"/>
    </row>
    <row r="46">
      <c r="A46" s="29" t="inlineStr">
        <is>
          <t>11.3.2</t>
        </is>
      </c>
      <c r="B46" s="29" t="inlineStr">
        <is>
          <t>NACSA-11.3.2-NCII-SYS-003</t>
        </is>
      </c>
      <c r="C46" s="29" t="inlineStr">
        <is>
          <t>SYSTEM</t>
        </is>
      </c>
      <c r="D46" s="29" t="inlineStr">
        <is>
          <t>Implementation of Guidelines</t>
        </is>
      </c>
      <c r="E46" s="29" t="inlineStr">
        <is>
          <t>[System 3]: Assess 1 mandatory requirement(s)</t>
        </is>
      </c>
      <c r="F46" s="29" t="inlineStr"/>
      <c r="G46" s="29" t="inlineStr"/>
      <c r="H46" s="29" t="inlineStr"/>
      <c r="I46" s="29" t="inlineStr"/>
      <c r="J46" s="29" t="inlineStr"/>
      <c r="K46" s="29" t="inlineStr"/>
      <c r="L46" s="29" t="inlineStr"/>
      <c r="M46" s="26" t="inlineStr"/>
      <c r="N46" s="26" t="inlineStr"/>
    </row>
    <row r="47">
      <c r="A47" s="28" t="inlineStr">
        <is>
          <t>11.3.2.1</t>
        </is>
      </c>
      <c r="B47" s="28" t="inlineStr">
        <is>
          <t>NACSA-11.3.2a-NCII-SYS-003</t>
        </is>
      </c>
      <c r="C47" s="28" t="inlineStr"/>
      <c r="D47" s="28" t="inlineStr"/>
      <c r="E47" s="28" t="inlineStr">
        <is>
          <t>[System 3]: The guidelines shall be enforced during the acquisition of software and system / application, either...</t>
        </is>
      </c>
      <c r="F47"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11.3.2.1.</t>
        </is>
      </c>
      <c r="G47" s="28" t="inlineStr">
        <is>
          <t>Approved policy/procedure document; Committee approval record; Version history</t>
        </is>
      </c>
      <c r="H47" s="28" t="inlineStr">
        <is>
          <t>Inspection</t>
        </is>
      </c>
      <c r="I47" s="28" t="inlineStr"/>
      <c r="J47" s="28" t="inlineStr"/>
      <c r="K47" s="28" t="inlineStr"/>
      <c r="L47" s="28" t="inlineStr"/>
      <c r="M47" s="28" t="inlineStr"/>
      <c r="N47" s="28" t="inlineStr"/>
    </row>
    <row r="48">
      <c r="A48" s="29" t="inlineStr">
        <is>
          <t>11.3.4</t>
        </is>
      </c>
      <c r="B48" s="29" t="inlineStr">
        <is>
          <t>NACSA-11.3.4-NCII-SYS-001</t>
        </is>
      </c>
      <c r="C48" s="29" t="inlineStr">
        <is>
          <t>SYSTEM</t>
        </is>
      </c>
      <c r="D48" s="29" t="inlineStr">
        <is>
          <t>Security Testing</t>
        </is>
      </c>
      <c r="E48" s="29" t="inlineStr">
        <is>
          <t>[System 1]: Assess 2 mandatory requirement(s)</t>
        </is>
      </c>
      <c r="F48" s="29" t="inlineStr"/>
      <c r="G48" s="29" t="inlineStr"/>
      <c r="H48" s="29" t="inlineStr"/>
      <c r="I48" s="29" t="inlineStr"/>
      <c r="J48" s="29" t="inlineStr"/>
      <c r="K48" s="29" t="inlineStr"/>
      <c r="L48" s="29" t="inlineStr"/>
      <c r="M48" s="26" t="inlineStr"/>
      <c r="N48" s="26" t="inlineStr"/>
    </row>
    <row r="49">
      <c r="A49" s="7" t="inlineStr">
        <is>
          <t>11.3.4.1</t>
        </is>
      </c>
      <c r="B49" s="7" t="inlineStr">
        <is>
          <t>NACSA-11.3.4a-NCII-SYS-001</t>
        </is>
      </c>
      <c r="C49" s="7" t="inlineStr"/>
      <c r="D49" s="7" t="inlineStr"/>
      <c r="E49" s="7" t="inlineStr">
        <is>
          <t>[System 1]: The NCII entity shall ensure security testing on software and system / application are conducted dur...</t>
        </is>
      </c>
      <c r="F49"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11.3.4.1.</t>
        </is>
      </c>
      <c r="G49" s="7" t="inlineStr">
        <is>
          <t>Approved policy/procedure document; Committee approval record; Version history</t>
        </is>
      </c>
      <c r="H49" s="7" t="inlineStr">
        <is>
          <t>Inspection</t>
        </is>
      </c>
      <c r="I49" s="7" t="inlineStr"/>
      <c r="J49" s="7" t="inlineStr"/>
      <c r="K49" s="7" t="inlineStr"/>
      <c r="L49" s="7" t="inlineStr"/>
      <c r="M49" s="7" t="inlineStr"/>
      <c r="N49" s="7" t="inlineStr"/>
    </row>
    <row r="50">
      <c r="A50" s="28" t="inlineStr">
        <is>
          <t>11.3.4.2</t>
        </is>
      </c>
      <c r="B50" s="28" t="inlineStr">
        <is>
          <t>NACSA-11.3.4b-NCII-SYS-001</t>
        </is>
      </c>
      <c r="C50" s="28" t="inlineStr"/>
      <c r="D50" s="28" t="inlineStr"/>
      <c r="E50" s="28" t="inlineStr">
        <is>
          <t>[System 1]: Pre-deployment security testing shall include:
- Vulnerability scans to detect weaknesses.
- Penetra...</t>
        </is>
      </c>
      <c r="F50" s="28" t="inlineStr">
        <is>
          <t>1. Request the monitoring procedure/SMP.
2. Verify monitoring tools deployed (SIEM, IDPS, EDR).
3. Check log source coverage includes all NCII systems.
4. Review MTTD/MTTR KPI performance for the assessment period.</t>
        </is>
      </c>
      <c r="G50" s="28" t="inlineStr">
        <is>
          <t>Monitoring procedure; Tool deployment evidence; Log source inventory; KPI dashboard/reports</t>
        </is>
      </c>
      <c r="H50" s="28" t="inlineStr">
        <is>
          <t>Inspection</t>
        </is>
      </c>
      <c r="I50" s="28" t="inlineStr"/>
      <c r="J50" s="28" t="inlineStr"/>
      <c r="K50" s="28" t="inlineStr"/>
      <c r="L50" s="28" t="inlineStr"/>
      <c r="M50" s="28" t="inlineStr"/>
      <c r="N50" s="28" t="inlineStr"/>
    </row>
    <row r="51">
      <c r="A51" s="29" t="inlineStr">
        <is>
          <t>11.3.4</t>
        </is>
      </c>
      <c r="B51" s="29" t="inlineStr">
        <is>
          <t>NACSA-11.3.4-NCII-SYS-002</t>
        </is>
      </c>
      <c r="C51" s="29" t="inlineStr">
        <is>
          <t>SYSTEM</t>
        </is>
      </c>
      <c r="D51" s="29" t="inlineStr">
        <is>
          <t>Security Testing</t>
        </is>
      </c>
      <c r="E51" s="29" t="inlineStr">
        <is>
          <t>[System 2]: Assess 2 mandatory requirement(s)</t>
        </is>
      </c>
      <c r="F51" s="29" t="inlineStr"/>
      <c r="G51" s="29" t="inlineStr"/>
      <c r="H51" s="29" t="inlineStr"/>
      <c r="I51" s="29" t="inlineStr"/>
      <c r="J51" s="29" t="inlineStr"/>
      <c r="K51" s="29" t="inlineStr"/>
      <c r="L51" s="29" t="inlineStr"/>
      <c r="M51" s="26" t="inlineStr"/>
      <c r="N51" s="26" t="inlineStr"/>
    </row>
    <row r="52">
      <c r="A52" s="7" t="inlineStr">
        <is>
          <t>11.3.4.1</t>
        </is>
      </c>
      <c r="B52" s="7" t="inlineStr">
        <is>
          <t>NACSA-11.3.4a-NCII-SYS-002</t>
        </is>
      </c>
      <c r="C52" s="7" t="inlineStr"/>
      <c r="D52" s="7" t="inlineStr"/>
      <c r="E52" s="7" t="inlineStr">
        <is>
          <t>[System 2]: The NCII entity shall ensure security testing on software and system / application are conducted dur...</t>
        </is>
      </c>
      <c r="F52"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11.3.4.1.</t>
        </is>
      </c>
      <c r="G52" s="7" t="inlineStr">
        <is>
          <t>Approved policy/procedure document; Committee approval record; Version history</t>
        </is>
      </c>
      <c r="H52" s="7" t="inlineStr">
        <is>
          <t>Inspection</t>
        </is>
      </c>
      <c r="I52" s="7" t="inlineStr"/>
      <c r="J52" s="7" t="inlineStr"/>
      <c r="K52" s="7" t="inlineStr"/>
      <c r="L52" s="7" t="inlineStr"/>
      <c r="M52" s="7" t="inlineStr"/>
      <c r="N52" s="7" t="inlineStr"/>
    </row>
    <row r="53">
      <c r="A53" s="28" t="inlineStr">
        <is>
          <t>11.3.4.2</t>
        </is>
      </c>
      <c r="B53" s="28" t="inlineStr">
        <is>
          <t>NACSA-11.3.4b-NCII-SYS-002</t>
        </is>
      </c>
      <c r="C53" s="28" t="inlineStr"/>
      <c r="D53" s="28" t="inlineStr"/>
      <c r="E53" s="28" t="inlineStr">
        <is>
          <t>[System 2]: Pre-deployment security testing shall include:
- Vulnerability scans to detect weaknesses.
- Penetra...</t>
        </is>
      </c>
      <c r="F53" s="28" t="inlineStr">
        <is>
          <t>1. Request the monitoring procedure/SMP.
2. Verify monitoring tools deployed (SIEM, IDPS, EDR).
3. Check log source coverage includes all NCII systems.
4. Review MTTD/MTTR KPI performance for the assessment period.</t>
        </is>
      </c>
      <c r="G53" s="28" t="inlineStr">
        <is>
          <t>Monitoring procedure; Tool deployment evidence; Log source inventory; KPI dashboard/reports</t>
        </is>
      </c>
      <c r="H53" s="28" t="inlineStr">
        <is>
          <t>Inspection</t>
        </is>
      </c>
      <c r="I53" s="28" t="inlineStr"/>
      <c r="J53" s="28" t="inlineStr"/>
      <c r="K53" s="28" t="inlineStr"/>
      <c r="L53" s="28" t="inlineStr"/>
      <c r="M53" s="28" t="inlineStr"/>
      <c r="N53" s="28" t="inlineStr"/>
    </row>
    <row r="54">
      <c r="A54" s="29" t="inlineStr">
        <is>
          <t>11.3.4</t>
        </is>
      </c>
      <c r="B54" s="29" t="inlineStr">
        <is>
          <t>NACSA-11.3.4-NCII-SYS-003</t>
        </is>
      </c>
      <c r="C54" s="29" t="inlineStr">
        <is>
          <t>SYSTEM</t>
        </is>
      </c>
      <c r="D54" s="29" t="inlineStr">
        <is>
          <t>Security Testing</t>
        </is>
      </c>
      <c r="E54" s="29" t="inlineStr">
        <is>
          <t>[System 3]: Assess 2 mandatory requirement(s)</t>
        </is>
      </c>
      <c r="F54" s="29" t="inlineStr"/>
      <c r="G54" s="29" t="inlineStr"/>
      <c r="H54" s="29" t="inlineStr"/>
      <c r="I54" s="29" t="inlineStr"/>
      <c r="J54" s="29" t="inlineStr"/>
      <c r="K54" s="29" t="inlineStr"/>
      <c r="L54" s="29" t="inlineStr"/>
      <c r="M54" s="26" t="inlineStr"/>
      <c r="N54" s="26" t="inlineStr"/>
    </row>
    <row r="55">
      <c r="A55" s="7" t="inlineStr">
        <is>
          <t>11.3.4.1</t>
        </is>
      </c>
      <c r="B55" s="7" t="inlineStr">
        <is>
          <t>NACSA-11.3.4a-NCII-SYS-003</t>
        </is>
      </c>
      <c r="C55" s="7" t="inlineStr"/>
      <c r="D55" s="7" t="inlineStr"/>
      <c r="E55" s="7" t="inlineStr">
        <is>
          <t>[System 3]: The NCII entity shall ensure security testing on software and system / application are conducted dur...</t>
        </is>
      </c>
      <c r="F55"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11.3.4.1.</t>
        </is>
      </c>
      <c r="G55" s="7" t="inlineStr">
        <is>
          <t>Approved policy/procedure document; Committee approval record; Version history</t>
        </is>
      </c>
      <c r="H55" s="7" t="inlineStr">
        <is>
          <t>Inspection</t>
        </is>
      </c>
      <c r="I55" s="7" t="inlineStr"/>
      <c r="J55" s="7" t="inlineStr"/>
      <c r="K55" s="7" t="inlineStr"/>
      <c r="L55" s="7" t="inlineStr"/>
      <c r="M55" s="7" t="inlineStr"/>
      <c r="N55" s="7" t="inlineStr"/>
    </row>
    <row r="56">
      <c r="A56" s="28" t="inlineStr">
        <is>
          <t>11.3.4.2</t>
        </is>
      </c>
      <c r="B56" s="28" t="inlineStr">
        <is>
          <t>NACSA-11.3.4b-NCII-SYS-003</t>
        </is>
      </c>
      <c r="C56" s="28" t="inlineStr"/>
      <c r="D56" s="28" t="inlineStr"/>
      <c r="E56" s="28" t="inlineStr">
        <is>
          <t>[System 3]: Pre-deployment security testing shall include:
- Vulnerability scans to detect weaknesses.
- Penetra...</t>
        </is>
      </c>
      <c r="F56" s="28" t="inlineStr">
        <is>
          <t>1. Request the monitoring procedure/SMP.
2. Verify monitoring tools deployed (SIEM, IDPS, EDR).
3. Check log source coverage includes all NCII systems.
4. Review MTTD/MTTR KPI performance for the assessment period.</t>
        </is>
      </c>
      <c r="G56" s="28" t="inlineStr">
        <is>
          <t>Monitoring procedure; Tool deployment evidence; Log source inventory; KPI dashboard/reports</t>
        </is>
      </c>
      <c r="H56" s="28" t="inlineStr">
        <is>
          <t>Inspection</t>
        </is>
      </c>
      <c r="I56" s="28" t="inlineStr"/>
      <c r="J56" s="28" t="inlineStr"/>
      <c r="K56" s="28" t="inlineStr"/>
      <c r="L56" s="28" t="inlineStr"/>
      <c r="M56" s="28" t="inlineStr"/>
      <c r="N56" s="28" t="inlineStr"/>
    </row>
    <row r="57">
      <c r="A57" s="29" t="inlineStr">
        <is>
          <t>11.4.2</t>
        </is>
      </c>
      <c r="B57" s="29" t="inlineStr">
        <is>
          <t>NACSA-11.4.2-NCII-SYS-001</t>
        </is>
      </c>
      <c r="C57" s="29" t="inlineStr">
        <is>
          <t>SYSTEM</t>
        </is>
      </c>
      <c r="D57" s="29" t="inlineStr">
        <is>
          <t>Monitoring and Approval</t>
        </is>
      </c>
      <c r="E57" s="29" t="inlineStr">
        <is>
          <t>[System 1]: Assess 3 mandatory requirement(s)</t>
        </is>
      </c>
      <c r="F57" s="29" t="inlineStr"/>
      <c r="G57" s="29" t="inlineStr"/>
      <c r="H57" s="29" t="inlineStr"/>
      <c r="I57" s="29" t="inlineStr"/>
      <c r="J57" s="29" t="inlineStr"/>
      <c r="K57" s="29" t="inlineStr"/>
      <c r="L57" s="29" t="inlineStr"/>
      <c r="M57" s="26" t="inlineStr"/>
      <c r="N57" s="26" t="inlineStr"/>
    </row>
    <row r="58">
      <c r="A58" s="7" t="inlineStr">
        <is>
          <t>11.4.2.1</t>
        </is>
      </c>
      <c r="B58" s="7" t="inlineStr">
        <is>
          <t>NACSA-11.4.2a-NCII-SYS-001</t>
        </is>
      </c>
      <c r="C58" s="7" t="inlineStr"/>
      <c r="D58" s="7" t="inlineStr"/>
      <c r="E58" s="7" t="inlineStr">
        <is>
          <t>[System 1]: Technologies with secure configurations shall be continuously monitored and reviewed to ensure ongoi...</t>
        </is>
      </c>
      <c r="F58" s="7" t="inlineStr">
        <is>
          <t>1. Request the monitoring procedure/SMP.
2. Verify monitoring tools deployed (SIEM, IDPS, EDR).
3. Check log source coverage includes all NCII systems.
4. Review MTTD/MTTR KPI performance for the assessment period.</t>
        </is>
      </c>
      <c r="G58" s="7" t="inlineStr">
        <is>
          <t>Monitoring procedure; Tool deployment evidence; Log source inventory; KPI dashboard/reports</t>
        </is>
      </c>
      <c r="H58" s="7" t="inlineStr">
        <is>
          <t>Inspection</t>
        </is>
      </c>
      <c r="I58" s="7" t="inlineStr"/>
      <c r="J58" s="7" t="inlineStr"/>
      <c r="K58" s="7" t="inlineStr"/>
      <c r="L58" s="7" t="inlineStr"/>
      <c r="M58" s="7" t="inlineStr"/>
      <c r="N58" s="7" t="inlineStr"/>
    </row>
    <row r="59">
      <c r="A59" s="28" t="inlineStr">
        <is>
          <t>11.4.2.2</t>
        </is>
      </c>
      <c r="B59" s="28" t="inlineStr">
        <is>
          <t>NACSA-11.4.2b-NCII-SYS-001</t>
        </is>
      </c>
      <c r="C59" s="28" t="inlineStr"/>
      <c r="D59" s="28" t="inlineStr"/>
      <c r="E59" s="28" t="inlineStr">
        <is>
          <t>[System 1]: The approved secure configuration guidelines for a technology must be promptly updated following any...</t>
        </is>
      </c>
      <c r="F59" s="28" t="inlineStr">
        <is>
          <t>1. Request the document with approval records (signatures, dates, approving authority).
2. Verify the approving authority is appropriate per the entity's governance structure.
3. Check that amendments since last approval are documented and re-approved.
4. Confirm the approval process aligns with the entity's document control procedures.</t>
        </is>
      </c>
      <c r="G59" s="28" t="inlineStr">
        <is>
          <t>Approved policy/procedure document; Committee approval record; Version history</t>
        </is>
      </c>
      <c r="H59" s="28" t="inlineStr">
        <is>
          <t>Inspection</t>
        </is>
      </c>
      <c r="I59" s="28" t="inlineStr"/>
      <c r="J59" s="28" t="inlineStr"/>
      <c r="K59" s="28" t="inlineStr"/>
      <c r="L59" s="28" t="inlineStr"/>
      <c r="M59" s="28" t="inlineStr"/>
      <c r="N59" s="28" t="inlineStr"/>
    </row>
    <row r="60">
      <c r="A60" s="7" t="inlineStr">
        <is>
          <t>11.4.2.3</t>
        </is>
      </c>
      <c r="B60" s="7" t="inlineStr">
        <is>
          <t>NACSA-11.4.2c-NCII-SYS-001</t>
        </is>
      </c>
      <c r="C60" s="7" t="inlineStr"/>
      <c r="D60" s="7" t="inlineStr"/>
      <c r="E60" s="7" t="inlineStr">
        <is>
          <t>[System 1]: Any significant updates and installations shall be approved by the relevant cyber security governanc...</t>
        </is>
      </c>
      <c r="F60" s="7" t="inlineStr">
        <is>
          <t>1. Request the document with approval records (signatures, dates, approving authority).
2. Verify the approving authority is appropriate per the entity's governance structure.
3. Check that amendments since last approval are documented and re-approved.
4. Confirm the approval process aligns with the entity's document control procedures.</t>
        </is>
      </c>
      <c r="G60" s="7" t="inlineStr">
        <is>
          <t>Approved policy/procedure document; Committee approval record; Version history</t>
        </is>
      </c>
      <c r="H60" s="7" t="inlineStr">
        <is>
          <t>Inspection</t>
        </is>
      </c>
      <c r="I60" s="7" t="inlineStr"/>
      <c r="J60" s="7" t="inlineStr"/>
      <c r="K60" s="7" t="inlineStr"/>
      <c r="L60" s="7" t="inlineStr"/>
      <c r="M60" s="7" t="inlineStr"/>
      <c r="N60" s="7" t="inlineStr"/>
    </row>
    <row r="61">
      <c r="A61" s="29" t="inlineStr">
        <is>
          <t>11.4.2</t>
        </is>
      </c>
      <c r="B61" s="29" t="inlineStr">
        <is>
          <t>NACSA-11.4.2-NCII-SYS-002</t>
        </is>
      </c>
      <c r="C61" s="29" t="inlineStr">
        <is>
          <t>SYSTEM</t>
        </is>
      </c>
      <c r="D61" s="29" t="inlineStr">
        <is>
          <t>Monitoring and Approval</t>
        </is>
      </c>
      <c r="E61" s="29" t="inlineStr">
        <is>
          <t>[System 2]: Assess 3 mandatory requirement(s)</t>
        </is>
      </c>
      <c r="F61" s="29" t="inlineStr"/>
      <c r="G61" s="29" t="inlineStr"/>
      <c r="H61" s="29" t="inlineStr"/>
      <c r="I61" s="29" t="inlineStr"/>
      <c r="J61" s="29" t="inlineStr"/>
      <c r="K61" s="29" t="inlineStr"/>
      <c r="L61" s="29" t="inlineStr"/>
      <c r="M61" s="26" t="inlineStr"/>
      <c r="N61" s="26" t="inlineStr"/>
    </row>
    <row r="62">
      <c r="A62" s="28" t="inlineStr">
        <is>
          <t>11.4.2.1</t>
        </is>
      </c>
      <c r="B62" s="28" t="inlineStr">
        <is>
          <t>NACSA-11.4.2a-NCII-SYS-002</t>
        </is>
      </c>
      <c r="C62" s="28" t="inlineStr"/>
      <c r="D62" s="28" t="inlineStr"/>
      <c r="E62" s="28" t="inlineStr">
        <is>
          <t>[System 2]: Technologies with secure configurations shall be continuously monitored and reviewed to ensure ongoi...</t>
        </is>
      </c>
      <c r="F62" s="28" t="inlineStr">
        <is>
          <t>1. Request the monitoring procedure/SMP.
2. Verify monitoring tools deployed (SIEM, IDPS, EDR).
3. Check log source coverage includes all NCII systems.
4. Review MTTD/MTTR KPI performance for the assessment period.</t>
        </is>
      </c>
      <c r="G62" s="28" t="inlineStr">
        <is>
          <t>Monitoring procedure; Tool deployment evidence; Log source inventory; KPI dashboard/reports</t>
        </is>
      </c>
      <c r="H62" s="28" t="inlineStr">
        <is>
          <t>Inspection</t>
        </is>
      </c>
      <c r="I62" s="28" t="inlineStr"/>
      <c r="J62" s="28" t="inlineStr"/>
      <c r="K62" s="28" t="inlineStr"/>
      <c r="L62" s="28" t="inlineStr"/>
      <c r="M62" s="28" t="inlineStr"/>
      <c r="N62" s="28" t="inlineStr"/>
    </row>
    <row r="63">
      <c r="A63" s="7" t="inlineStr">
        <is>
          <t>11.4.2.2</t>
        </is>
      </c>
      <c r="B63" s="7" t="inlineStr">
        <is>
          <t>NACSA-11.4.2b-NCII-SYS-002</t>
        </is>
      </c>
      <c r="C63" s="7" t="inlineStr"/>
      <c r="D63" s="7" t="inlineStr"/>
      <c r="E63" s="7" t="inlineStr">
        <is>
          <t>[System 2]: The approved secure configuration guidelines for a technology must be promptly updated following any...</t>
        </is>
      </c>
      <c r="F63" s="7" t="inlineStr">
        <is>
          <t>1. Request the document with approval records (signatures, dates, approving authority).
2. Verify the approving authority is appropriate per the entity's governance structure.
3. Check that amendments since last approval are documented and re-approved.
4. Confirm the approval process aligns with the entity's document control procedures.</t>
        </is>
      </c>
      <c r="G63" s="7" t="inlineStr">
        <is>
          <t>Approved policy/procedure document; Committee approval record; Version history</t>
        </is>
      </c>
      <c r="H63" s="7" t="inlineStr">
        <is>
          <t>Inspection</t>
        </is>
      </c>
      <c r="I63" s="7" t="inlineStr"/>
      <c r="J63" s="7" t="inlineStr"/>
      <c r="K63" s="7" t="inlineStr"/>
      <c r="L63" s="7" t="inlineStr"/>
      <c r="M63" s="7" t="inlineStr"/>
      <c r="N63" s="7" t="inlineStr"/>
    </row>
    <row r="64">
      <c r="A64" s="28" t="inlineStr">
        <is>
          <t>11.4.2.3</t>
        </is>
      </c>
      <c r="B64" s="28" t="inlineStr">
        <is>
          <t>NACSA-11.4.2c-NCII-SYS-002</t>
        </is>
      </c>
      <c r="C64" s="28" t="inlineStr"/>
      <c r="D64" s="28" t="inlineStr"/>
      <c r="E64" s="28" t="inlineStr">
        <is>
          <t>[System 2]: Any significant updates and installations shall be approved by the relevant cyber security governanc...</t>
        </is>
      </c>
      <c r="F64" s="28" t="inlineStr">
        <is>
          <t>1. Request the document with approval records (signatures, dates, approving authority).
2. Verify the approving authority is appropriate per the entity's governance structure.
3. Check that amendments since last approval are documented and re-approved.
4. Confirm the approval process aligns with the entity's document control procedures.</t>
        </is>
      </c>
      <c r="G64" s="28" t="inlineStr">
        <is>
          <t>Approved policy/procedure document; Committee approval record; Version history</t>
        </is>
      </c>
      <c r="H64" s="28" t="inlineStr">
        <is>
          <t>Inspection</t>
        </is>
      </c>
      <c r="I64" s="28" t="inlineStr"/>
      <c r="J64" s="28" t="inlineStr"/>
      <c r="K64" s="28" t="inlineStr"/>
      <c r="L64" s="28" t="inlineStr"/>
      <c r="M64" s="28" t="inlineStr"/>
      <c r="N64" s="28" t="inlineStr"/>
    </row>
    <row r="65">
      <c r="A65" s="29" t="inlineStr">
        <is>
          <t>11.4.2</t>
        </is>
      </c>
      <c r="B65" s="29" t="inlineStr">
        <is>
          <t>NACSA-11.4.2-NCII-SYS-003</t>
        </is>
      </c>
      <c r="C65" s="29" t="inlineStr">
        <is>
          <t>SYSTEM</t>
        </is>
      </c>
      <c r="D65" s="29" t="inlineStr">
        <is>
          <t>Monitoring and Approval</t>
        </is>
      </c>
      <c r="E65" s="29" t="inlineStr">
        <is>
          <t>[System 3]: Assess 3 mandatory requirement(s)</t>
        </is>
      </c>
      <c r="F65" s="29" t="inlineStr"/>
      <c r="G65" s="29" t="inlineStr"/>
      <c r="H65" s="29" t="inlineStr"/>
      <c r="I65" s="29" t="inlineStr"/>
      <c r="J65" s="29" t="inlineStr"/>
      <c r="K65" s="29" t="inlineStr"/>
      <c r="L65" s="29" t="inlineStr"/>
      <c r="M65" s="26" t="inlineStr"/>
      <c r="N65" s="26" t="inlineStr"/>
    </row>
    <row r="66">
      <c r="A66" s="7" t="inlineStr">
        <is>
          <t>11.4.2.1</t>
        </is>
      </c>
      <c r="B66" s="7" t="inlineStr">
        <is>
          <t>NACSA-11.4.2a-NCII-SYS-003</t>
        </is>
      </c>
      <c r="C66" s="7" t="inlineStr"/>
      <c r="D66" s="7" t="inlineStr"/>
      <c r="E66" s="7" t="inlineStr">
        <is>
          <t>[System 3]: Technologies with secure configurations shall be continuously monitored and reviewed to ensure ongoi...</t>
        </is>
      </c>
      <c r="F66" s="7" t="inlineStr">
        <is>
          <t>1. Request the monitoring procedure/SMP.
2. Verify monitoring tools deployed (SIEM, IDPS, EDR).
3. Check log source coverage includes all NCII systems.
4. Review MTTD/MTTR KPI performance for the assessment period.</t>
        </is>
      </c>
      <c r="G66" s="7" t="inlineStr">
        <is>
          <t>Monitoring procedure; Tool deployment evidence; Log source inventory; KPI dashboard/reports</t>
        </is>
      </c>
      <c r="H66" s="7" t="inlineStr">
        <is>
          <t>Inspection</t>
        </is>
      </c>
      <c r="I66" s="7" t="inlineStr"/>
      <c r="J66" s="7" t="inlineStr"/>
      <c r="K66" s="7" t="inlineStr"/>
      <c r="L66" s="7" t="inlineStr"/>
      <c r="M66" s="7" t="inlineStr"/>
      <c r="N66" s="7" t="inlineStr"/>
    </row>
    <row r="67">
      <c r="A67" s="28" t="inlineStr">
        <is>
          <t>11.4.2.2</t>
        </is>
      </c>
      <c r="B67" s="28" t="inlineStr">
        <is>
          <t>NACSA-11.4.2b-NCII-SYS-003</t>
        </is>
      </c>
      <c r="C67" s="28" t="inlineStr"/>
      <c r="D67" s="28" t="inlineStr"/>
      <c r="E67" s="28" t="inlineStr">
        <is>
          <t>[System 3]: The approved secure configuration guidelines for a technology must be promptly updated following any...</t>
        </is>
      </c>
      <c r="F67" s="28" t="inlineStr">
        <is>
          <t>1. Request the document with approval records (signatures, dates, approving authority).
2. Verify the approving authority is appropriate per the entity's governance structure.
3. Check that amendments since last approval are documented and re-approved.
4. Confirm the approval process aligns with the entity's document control procedures.</t>
        </is>
      </c>
      <c r="G67" s="28" t="inlineStr">
        <is>
          <t>Approved policy/procedure document; Committee approval record; Version history</t>
        </is>
      </c>
      <c r="H67" s="28" t="inlineStr">
        <is>
          <t>Inspection</t>
        </is>
      </c>
      <c r="I67" s="28" t="inlineStr"/>
      <c r="J67" s="28" t="inlineStr"/>
      <c r="K67" s="28" t="inlineStr"/>
      <c r="L67" s="28" t="inlineStr"/>
      <c r="M67" s="28" t="inlineStr"/>
      <c r="N67" s="28" t="inlineStr"/>
    </row>
    <row r="68">
      <c r="A68" s="7" t="inlineStr">
        <is>
          <t>11.4.2.3</t>
        </is>
      </c>
      <c r="B68" s="7" t="inlineStr">
        <is>
          <t>NACSA-11.4.2c-NCII-SYS-003</t>
        </is>
      </c>
      <c r="C68" s="7" t="inlineStr"/>
      <c r="D68" s="7" t="inlineStr"/>
      <c r="E68" s="7" t="inlineStr">
        <is>
          <t>[System 3]: Any significant updates and installations shall be approved by the relevant cyber security governanc...</t>
        </is>
      </c>
      <c r="F68" s="7" t="inlineStr">
        <is>
          <t>1. Request the document with approval records (signatures, dates, approving authority).
2. Verify the approving authority is appropriate per the entity's governance structure.
3. Check that amendments since last approval are documented and re-approved.
4. Confirm the approval process aligns with the entity's document control procedures.</t>
        </is>
      </c>
      <c r="G68" s="7" t="inlineStr">
        <is>
          <t>Approved policy/procedure document; Committee approval record; Version history</t>
        </is>
      </c>
      <c r="H68" s="7" t="inlineStr">
        <is>
          <t>Inspection</t>
        </is>
      </c>
      <c r="I68" s="7" t="inlineStr"/>
      <c r="J68" s="7" t="inlineStr"/>
      <c r="K68" s="7" t="inlineStr"/>
      <c r="L68" s="7" t="inlineStr"/>
      <c r="M68" s="7" t="inlineStr"/>
      <c r="N68" s="7" t="inlineStr"/>
    </row>
    <row r="69">
      <c r="A69" s="29" t="inlineStr">
        <is>
          <t>11.4.3</t>
        </is>
      </c>
      <c r="B69" s="29" t="inlineStr">
        <is>
          <t>NACSA-11.4.3-NCII-SYS-001</t>
        </is>
      </c>
      <c r="C69" s="29" t="inlineStr">
        <is>
          <t>SYSTEM</t>
        </is>
      </c>
      <c r="D69" s="29" t="inlineStr">
        <is>
          <t>Logs Maintenance</t>
        </is>
      </c>
      <c r="E69" s="29" t="inlineStr">
        <is>
          <t>[System 1]: Assess 2 mandatory requirement(s)</t>
        </is>
      </c>
      <c r="F69" s="29" t="inlineStr"/>
      <c r="G69" s="29" t="inlineStr"/>
      <c r="H69" s="29" t="inlineStr"/>
      <c r="I69" s="29" t="inlineStr"/>
      <c r="J69" s="29" t="inlineStr"/>
      <c r="K69" s="29" t="inlineStr"/>
      <c r="L69" s="29" t="inlineStr"/>
      <c r="M69" s="26" t="inlineStr"/>
      <c r="N69" s="26" t="inlineStr"/>
    </row>
    <row r="70">
      <c r="A70" s="28" t="inlineStr">
        <is>
          <t>11.4.3.1</t>
        </is>
      </c>
      <c r="B70" s="28" t="inlineStr">
        <is>
          <t>NACSA-11.4.3a-NCII-SYS-001</t>
        </is>
      </c>
      <c r="C70" s="28" t="inlineStr"/>
      <c r="D70" s="28" t="inlineStr"/>
      <c r="E70" s="28" t="inlineStr">
        <is>
          <t>[System 1]: The configuration logs shall be able to record all changes, approvals, cyber security incidents and ...</t>
        </is>
      </c>
      <c r="F70" s="28" t="inlineStr">
        <is>
          <t>1. Request the most recent audit/assessment report.
2. Verify it was conducted by an approved/qualified party.
3. Confirm submission to CE NACSA within required timeframe.
4. Check that findings are tracked with remediation plans.</t>
        </is>
      </c>
      <c r="G70" s="28" t="inlineStr">
        <is>
          <t>Audit/assessment report; Assessor qualifications/approval; CE submission confirmation; Remediation tracker</t>
        </is>
      </c>
      <c r="H70" s="28" t="inlineStr">
        <is>
          <t>Inspection</t>
        </is>
      </c>
      <c r="I70" s="28" t="inlineStr"/>
      <c r="J70" s="28" t="inlineStr"/>
      <c r="K70" s="28" t="inlineStr"/>
      <c r="L70" s="28" t="inlineStr"/>
      <c r="M70" s="28" t="inlineStr"/>
      <c r="N70" s="28" t="inlineStr"/>
    </row>
    <row r="71">
      <c r="A71" s="7" t="inlineStr">
        <is>
          <t>11.4.3.2</t>
        </is>
      </c>
      <c r="B71" s="7" t="inlineStr">
        <is>
          <t>NACSA-11.4.3b-NCII-SYS-001</t>
        </is>
      </c>
      <c r="C71" s="7" t="inlineStr"/>
      <c r="D71" s="7" t="inlineStr"/>
      <c r="E71" s="7" t="inlineStr">
        <is>
          <t>[System 1]: The logs must be securely maintained to support regulatory compliance and forensic investigations. T...</t>
        </is>
      </c>
      <c r="F71" s="7" t="inlineStr">
        <is>
          <t>1. Request the monitoring procedure/SMP.
2. Verify monitoring tools deployed (SIEM, IDPS, EDR).
3. Check log source coverage includes all NCII systems.
4. Review MTTD/MTTR KPI performance for the assessment period.</t>
        </is>
      </c>
      <c r="G71" s="7" t="inlineStr">
        <is>
          <t>Monitoring procedure; Tool deployment evidence; Log source inventory; KPI dashboard/reports</t>
        </is>
      </c>
      <c r="H71" s="7" t="inlineStr">
        <is>
          <t>Inspection</t>
        </is>
      </c>
      <c r="I71" s="7" t="inlineStr"/>
      <c r="J71" s="7" t="inlineStr"/>
      <c r="K71" s="7" t="inlineStr"/>
      <c r="L71" s="7" t="inlineStr"/>
      <c r="M71" s="7" t="inlineStr"/>
      <c r="N71" s="7" t="inlineStr"/>
    </row>
    <row r="72">
      <c r="A72" s="29" t="inlineStr">
        <is>
          <t>11.4.3</t>
        </is>
      </c>
      <c r="B72" s="29" t="inlineStr">
        <is>
          <t>NACSA-11.4.3-NCII-SYS-002</t>
        </is>
      </c>
      <c r="C72" s="29" t="inlineStr">
        <is>
          <t>SYSTEM</t>
        </is>
      </c>
      <c r="D72" s="29" t="inlineStr">
        <is>
          <t>Logs Maintenance</t>
        </is>
      </c>
      <c r="E72" s="29" t="inlineStr">
        <is>
          <t>[System 2]: Assess 2 mandatory requirement(s)</t>
        </is>
      </c>
      <c r="F72" s="29" t="inlineStr"/>
      <c r="G72" s="29" t="inlineStr"/>
      <c r="H72" s="29" t="inlineStr"/>
      <c r="I72" s="29" t="inlineStr"/>
      <c r="J72" s="29" t="inlineStr"/>
      <c r="K72" s="29" t="inlineStr"/>
      <c r="L72" s="29" t="inlineStr"/>
      <c r="M72" s="26" t="inlineStr"/>
      <c r="N72" s="26" t="inlineStr"/>
    </row>
    <row r="73">
      <c r="A73" s="28" t="inlineStr">
        <is>
          <t>11.4.3.1</t>
        </is>
      </c>
      <c r="B73" s="28" t="inlineStr">
        <is>
          <t>NACSA-11.4.3a-NCII-SYS-002</t>
        </is>
      </c>
      <c r="C73" s="28" t="inlineStr"/>
      <c r="D73" s="28" t="inlineStr"/>
      <c r="E73" s="28" t="inlineStr">
        <is>
          <t>[System 2]: The configuration logs shall be able to record all changes, approvals, cyber security incidents and ...</t>
        </is>
      </c>
      <c r="F73" s="28" t="inlineStr">
        <is>
          <t>1. Request the most recent audit/assessment report.
2. Verify it was conducted by an approved/qualified party.
3. Confirm submission to CE NACSA within required timeframe.
4. Check that findings are tracked with remediation plans.</t>
        </is>
      </c>
      <c r="G73" s="28" t="inlineStr">
        <is>
          <t>Audit/assessment report; Assessor qualifications/approval; CE submission confirmation; Remediation tracker</t>
        </is>
      </c>
      <c r="H73" s="28" t="inlineStr">
        <is>
          <t>Inspection</t>
        </is>
      </c>
      <c r="I73" s="28" t="inlineStr"/>
      <c r="J73" s="28" t="inlineStr"/>
      <c r="K73" s="28" t="inlineStr"/>
      <c r="L73" s="28" t="inlineStr"/>
      <c r="M73" s="28" t="inlineStr"/>
      <c r="N73" s="28" t="inlineStr"/>
    </row>
    <row r="74">
      <c r="A74" s="7" t="inlineStr">
        <is>
          <t>11.4.3.2</t>
        </is>
      </c>
      <c r="B74" s="7" t="inlineStr">
        <is>
          <t>NACSA-11.4.3b-NCII-SYS-002</t>
        </is>
      </c>
      <c r="C74" s="7" t="inlineStr"/>
      <c r="D74" s="7" t="inlineStr"/>
      <c r="E74" s="7" t="inlineStr">
        <is>
          <t>[System 2]: The logs must be securely maintained to support regulatory compliance and forensic investigations. T...</t>
        </is>
      </c>
      <c r="F74" s="7" t="inlineStr">
        <is>
          <t>1. Request the monitoring procedure/SMP.
2. Verify monitoring tools deployed (SIEM, IDPS, EDR).
3. Check log source coverage includes all NCII systems.
4. Review MTTD/MTTR KPI performance for the assessment period.</t>
        </is>
      </c>
      <c r="G74" s="7" t="inlineStr">
        <is>
          <t>Monitoring procedure; Tool deployment evidence; Log source inventory; KPI dashboard/reports</t>
        </is>
      </c>
      <c r="H74" s="7" t="inlineStr">
        <is>
          <t>Inspection</t>
        </is>
      </c>
      <c r="I74" s="7" t="inlineStr"/>
      <c r="J74" s="7" t="inlineStr"/>
      <c r="K74" s="7" t="inlineStr"/>
      <c r="L74" s="7" t="inlineStr"/>
      <c r="M74" s="7" t="inlineStr"/>
      <c r="N74" s="7" t="inlineStr"/>
    </row>
    <row r="75">
      <c r="A75" s="29" t="inlineStr">
        <is>
          <t>11.4.3</t>
        </is>
      </c>
      <c r="B75" s="29" t="inlineStr">
        <is>
          <t>NACSA-11.4.3-NCII-SYS-003</t>
        </is>
      </c>
      <c r="C75" s="29" t="inlineStr">
        <is>
          <t>SYSTEM</t>
        </is>
      </c>
      <c r="D75" s="29" t="inlineStr">
        <is>
          <t>Logs Maintenance</t>
        </is>
      </c>
      <c r="E75" s="29" t="inlineStr">
        <is>
          <t>[System 3]: Assess 2 mandatory requirement(s)</t>
        </is>
      </c>
      <c r="F75" s="29" t="inlineStr"/>
      <c r="G75" s="29" t="inlineStr"/>
      <c r="H75" s="29" t="inlineStr"/>
      <c r="I75" s="29" t="inlineStr"/>
      <c r="J75" s="29" t="inlineStr"/>
      <c r="K75" s="29" t="inlineStr"/>
      <c r="L75" s="29" t="inlineStr"/>
      <c r="M75" s="26" t="inlineStr"/>
      <c r="N75" s="26" t="inlineStr"/>
    </row>
    <row r="76">
      <c r="A76" s="28" t="inlineStr">
        <is>
          <t>11.4.3.1</t>
        </is>
      </c>
      <c r="B76" s="28" t="inlineStr">
        <is>
          <t>NACSA-11.4.3a-NCII-SYS-003</t>
        </is>
      </c>
      <c r="C76" s="28" t="inlineStr"/>
      <c r="D76" s="28" t="inlineStr"/>
      <c r="E76" s="28" t="inlineStr">
        <is>
          <t>[System 3]: The configuration logs shall be able to record all changes, approvals, cyber security incidents and ...</t>
        </is>
      </c>
      <c r="F76" s="28" t="inlineStr">
        <is>
          <t>1. Request the most recent audit/assessment report.
2. Verify it was conducted by an approved/qualified party.
3. Confirm submission to CE NACSA within required timeframe.
4. Check that findings are tracked with remediation plans.</t>
        </is>
      </c>
      <c r="G76" s="28" t="inlineStr">
        <is>
          <t>Audit/assessment report; Assessor qualifications/approval; CE submission confirmation; Remediation tracker</t>
        </is>
      </c>
      <c r="H76" s="28" t="inlineStr">
        <is>
          <t>Inspection</t>
        </is>
      </c>
      <c r="I76" s="28" t="inlineStr"/>
      <c r="J76" s="28" t="inlineStr"/>
      <c r="K76" s="28" t="inlineStr"/>
      <c r="L76" s="28" t="inlineStr"/>
      <c r="M76" s="28" t="inlineStr"/>
      <c r="N76" s="28" t="inlineStr"/>
    </row>
    <row r="77">
      <c r="A77" s="7" t="inlineStr">
        <is>
          <t>11.4.3.2</t>
        </is>
      </c>
      <c r="B77" s="7" t="inlineStr">
        <is>
          <t>NACSA-11.4.3b-NCII-SYS-003</t>
        </is>
      </c>
      <c r="C77" s="7" t="inlineStr"/>
      <c r="D77" s="7" t="inlineStr"/>
      <c r="E77" s="7" t="inlineStr">
        <is>
          <t>[System 3]: The logs must be securely maintained to support regulatory compliance and forensic investigations. T...</t>
        </is>
      </c>
      <c r="F77" s="7" t="inlineStr">
        <is>
          <t>1. Request the monitoring procedure/SMP.
2. Verify monitoring tools deployed (SIEM, IDPS, EDR).
3. Check log source coverage includes all NCII systems.
4. Review MTTD/MTTR KPI performance for the assessment period.</t>
        </is>
      </c>
      <c r="G77" s="7" t="inlineStr">
        <is>
          <t>Monitoring procedure; Tool deployment evidence; Log source inventory; KPI dashboard/reports</t>
        </is>
      </c>
      <c r="H77" s="7" t="inlineStr">
        <is>
          <t>Inspection</t>
        </is>
      </c>
      <c r="I77" s="7" t="inlineStr"/>
      <c r="J77" s="7" t="inlineStr"/>
      <c r="K77" s="7" t="inlineStr"/>
      <c r="L77" s="7" t="inlineStr"/>
      <c r="M77" s="7" t="inlineStr"/>
      <c r="N77" s="7" t="inlineStr"/>
    </row>
  </sheetData>
  <mergeCells count="3">
    <mergeCell ref="A26:N26"/>
    <mergeCell ref="A3:N3"/>
    <mergeCell ref="A2:N2"/>
  </mergeCells>
  <conditionalFormatting sqref="M4:M78">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77"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12.0 — Contractual Management (Organisation-Level)</t>
        </is>
      </c>
      <c r="B2" s="38" t="n"/>
      <c r="C2" s="38" t="n"/>
      <c r="D2" s="38" t="n"/>
      <c r="E2" s="38" t="n"/>
      <c r="F2" s="38" t="n"/>
      <c r="G2" s="38" t="n"/>
      <c r="H2" s="38" t="n"/>
      <c r="I2" s="38" t="n"/>
      <c r="J2" s="38" t="n"/>
      <c r="K2" s="38" t="n"/>
      <c r="L2" s="38" t="n"/>
      <c r="M2" s="38" t="n"/>
      <c r="N2" s="39" t="n"/>
    </row>
    <row r="3" ht="60" customHeight="1">
      <c r="A3" s="23" t="inlineStr">
        <is>
          <t>WHY: NDAs protect sensitive information shared during NCII operations. Without them, confidential data disclosed to third parties has no legal protection.
WHAT GOOD LOOKS LIKE: NDA templates covering all party types, signed before information exchange, compliance monitoring with periodic review, breaches addressed through contractual remedies.
KEY RISK IF ABSENT: s49 breach of secrecy exposure, unprotected disclosure of NCII-related information.</t>
        </is>
      </c>
      <c r="B3" s="38" t="n"/>
      <c r="C3" s="38" t="n"/>
      <c r="D3" s="38" t="n"/>
      <c r="E3" s="38" t="n"/>
      <c r="F3" s="38" t="n"/>
      <c r="G3" s="38" t="n"/>
      <c r="H3" s="38" t="n"/>
      <c r="I3" s="38" t="n"/>
      <c r="J3" s="38" t="n"/>
      <c r="K3" s="38" t="n"/>
      <c r="L3" s="38" t="n"/>
      <c r="M3" s="38" t="n"/>
      <c r="N3" s="39" t="n"/>
    </row>
    <row r="4">
      <c r="A4" s="25" t="inlineStr">
        <is>
          <t>12.1.1</t>
        </is>
      </c>
      <c r="B4" s="25" t="inlineStr">
        <is>
          <t>NACSA-12.1.1</t>
        </is>
      </c>
      <c r="C4" s="25" t="inlineStr">
        <is>
          <t>ORG</t>
        </is>
      </c>
      <c r="D4" s="25" t="inlineStr">
        <is>
          <t>Establishment of NDAs</t>
        </is>
      </c>
      <c r="E4" s="25" t="inlineStr">
        <is>
          <t>Assess 2 mandatory requirement(s)</t>
        </is>
      </c>
      <c r="F4" s="25" t="inlineStr"/>
      <c r="G4" s="25" t="inlineStr"/>
      <c r="H4" s="25" t="inlineStr"/>
      <c r="I4" s="25" t="inlineStr"/>
      <c r="J4" s="25" t="inlineStr"/>
      <c r="K4" s="25" t="inlineStr"/>
      <c r="L4" s="25" t="inlineStr"/>
      <c r="M4" s="26" t="inlineStr"/>
      <c r="N4" s="26" t="inlineStr"/>
    </row>
    <row r="5">
      <c r="A5" s="7" t="inlineStr">
        <is>
          <t>12.1.1.1</t>
        </is>
      </c>
      <c r="B5" s="7" t="inlineStr">
        <is>
          <t>NACSA-12.1.1a</t>
        </is>
      </c>
      <c r="C5" s="7" t="inlineStr"/>
      <c r="D5" s="7" t="inlineStr"/>
      <c r="E5" s="7" t="inlineStr">
        <is>
          <t>The NCII entity shall establish NDAs and develop standardised agreement templates to ensure consistency and compliance w...</t>
        </is>
      </c>
      <c r="F5" s="7" t="inlineStr">
        <is>
          <t>1. Request NDA templates for all relationship types (employee, contractor, vendor).
2. Verify NDAs include all 4 required elements: definition, obligations, permitted use, consequences.
3. Check for explicit reference to NCII designation and s49 secrecy.
4. Sample 10 signed NDAs — verify coverage across employees, contractors, and vendors.</t>
        </is>
      </c>
      <c r="G5" s="7" t="inlineStr">
        <is>
          <t>Approved policy/procedure document; Committee approval record; Version history</t>
        </is>
      </c>
      <c r="H5" s="7" t="inlineStr">
        <is>
          <t>Inspection</t>
        </is>
      </c>
      <c r="I5" s="7" t="inlineStr"/>
      <c r="J5" s="7" t="inlineStr"/>
      <c r="K5" s="7" t="inlineStr"/>
      <c r="L5" s="7" t="inlineStr"/>
      <c r="M5" s="7" t="inlineStr"/>
      <c r="N5" s="7" t="inlineStr"/>
    </row>
    <row r="6">
      <c r="A6" s="28" t="inlineStr">
        <is>
          <t>12.1.1.2</t>
        </is>
      </c>
      <c r="B6" s="28" t="inlineStr">
        <is>
          <t>NACSA-12.1.1b</t>
        </is>
      </c>
      <c r="C6" s="28" t="inlineStr"/>
      <c r="D6" s="28" t="inlineStr"/>
      <c r="E6" s="28" t="inlineStr">
        <is>
          <t>NDAs shall be complied with:
- Legal and regulatory requirements.
- Industry standards and best practices.</t>
        </is>
      </c>
      <c r="F6" s="28" t="inlineStr">
        <is>
          <t>1. Request NDA templates and signed NDA samples.
2. Verify NDA templates cover required parties.
3. Sample 10 NDAs — confirm signed before information exchange.
4. Check NDA compliance monitoring records.</t>
        </is>
      </c>
      <c r="G6" s="28" t="inlineStr">
        <is>
          <t>NDA templates; Signed NDA samples; Compliance monitoring records</t>
        </is>
      </c>
      <c r="H6" s="28" t="inlineStr">
        <is>
          <t>Inspection</t>
        </is>
      </c>
      <c r="I6" s="28" t="inlineStr"/>
      <c r="J6" s="28" t="inlineStr"/>
      <c r="K6" s="28" t="inlineStr"/>
      <c r="L6" s="28" t="inlineStr"/>
      <c r="M6" s="28" t="inlineStr"/>
      <c r="N6" s="28" t="inlineStr"/>
    </row>
    <row r="7">
      <c r="A7" s="25" t="inlineStr">
        <is>
          <t>12.1.2</t>
        </is>
      </c>
      <c r="B7" s="25" t="inlineStr">
        <is>
          <t>NACSA-12.1.2</t>
        </is>
      </c>
      <c r="C7" s="25" t="inlineStr">
        <is>
          <t>ORG</t>
        </is>
      </c>
      <c r="D7" s="25" t="inlineStr">
        <is>
          <t>Signing of NDAs</t>
        </is>
      </c>
      <c r="E7" s="25" t="inlineStr">
        <is>
          <t>Assess 2 mandatory requirement(s)</t>
        </is>
      </c>
      <c r="F7" s="25" t="inlineStr"/>
      <c r="G7" s="25" t="inlineStr"/>
      <c r="H7" s="25" t="inlineStr"/>
      <c r="I7" s="25" t="inlineStr"/>
      <c r="J7" s="25" t="inlineStr"/>
      <c r="K7" s="25" t="inlineStr"/>
      <c r="L7" s="25" t="inlineStr"/>
      <c r="M7" s="26" t="inlineStr"/>
      <c r="N7" s="26" t="inlineStr"/>
    </row>
    <row r="8">
      <c r="A8" s="7" t="inlineStr">
        <is>
          <t>12.1.2.1</t>
        </is>
      </c>
      <c r="B8" s="7" t="inlineStr">
        <is>
          <t>NACSA-12.1.2a</t>
        </is>
      </c>
      <c r="C8" s="7" t="inlineStr"/>
      <c r="D8" s="7" t="inlineStr"/>
      <c r="E8" s="7" t="inlineStr">
        <is>
          <t>NDAs shall be signed by all relevant parties before sharing or granting access to sensitive information. This includes:
...</t>
        </is>
      </c>
      <c r="F8" s="7" t="inlineStr">
        <is>
          <t>1. Request supplier/vendor register.
2. Verify CSSP licensing for applicable providers (P.U.(A) 221/2024).
3. Check contractual security requirements in supplier agreements.
4. Review supplier risk assessments and compliance monitoring.</t>
        </is>
      </c>
      <c r="G8" s="7" t="inlineStr">
        <is>
          <t>Supplier register; CSSP licence records; Sample supplier agreements; Risk assessment records</t>
        </is>
      </c>
      <c r="H8" s="7" t="inlineStr">
        <is>
          <t>Inspection</t>
        </is>
      </c>
      <c r="I8" s="7" t="inlineStr"/>
      <c r="J8" s="7" t="inlineStr"/>
      <c r="K8" s="7" t="inlineStr"/>
      <c r="L8" s="7" t="inlineStr"/>
      <c r="M8" s="7" t="inlineStr"/>
      <c r="N8" s="7" t="inlineStr"/>
    </row>
    <row r="9">
      <c r="A9" s="28" t="inlineStr">
        <is>
          <t>12.1.2.2</t>
        </is>
      </c>
      <c r="B9" s="28" t="inlineStr">
        <is>
          <t>NACSA-12.1.2b</t>
        </is>
      </c>
      <c r="C9" s="28" t="inlineStr"/>
      <c r="D9" s="28" t="inlineStr"/>
      <c r="E9" s="28" t="inlineStr">
        <is>
          <t>A designated authority or legal representative within the NCII entity shall:
- Ensure that all parties understand their ...</t>
        </is>
      </c>
      <c r="F9"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12.1.2.2.</t>
        </is>
      </c>
      <c r="G9" s="28" t="inlineStr">
        <is>
          <t>Relevant policy/procedure; Implementation evidence; Review/monitoring records</t>
        </is>
      </c>
      <c r="H9" s="28" t="inlineStr">
        <is>
          <t>Inspection</t>
        </is>
      </c>
      <c r="I9" s="28" t="inlineStr"/>
      <c r="J9" s="28" t="inlineStr"/>
      <c r="K9" s="28" t="inlineStr"/>
      <c r="L9" s="28" t="inlineStr"/>
      <c r="M9" s="28" t="inlineStr"/>
      <c r="N9" s="28" t="inlineStr"/>
    </row>
    <row r="10">
      <c r="A10" s="25" t="inlineStr">
        <is>
          <t>12.1.3</t>
        </is>
      </c>
      <c r="B10" s="25" t="inlineStr">
        <is>
          <t>NACSA-12.1.3</t>
        </is>
      </c>
      <c r="C10" s="25" t="inlineStr">
        <is>
          <t>ORG</t>
        </is>
      </c>
      <c r="D10" s="25" t="inlineStr">
        <is>
          <t>Monitoring and Reporting Compliance</t>
        </is>
      </c>
      <c r="E10" s="25" t="inlineStr">
        <is>
          <t>Assess 2 mandatory requirement(s)</t>
        </is>
      </c>
      <c r="F10" s="25" t="inlineStr"/>
      <c r="G10" s="25" t="inlineStr"/>
      <c r="H10" s="25" t="inlineStr"/>
      <c r="I10" s="25" t="inlineStr"/>
      <c r="J10" s="25" t="inlineStr"/>
      <c r="K10" s="25" t="inlineStr"/>
      <c r="L10" s="25" t="inlineStr"/>
      <c r="M10" s="26" t="inlineStr"/>
      <c r="N10" s="26" t="inlineStr"/>
    </row>
    <row r="11">
      <c r="A11" s="7" t="inlineStr">
        <is>
          <t>12.1.3.1</t>
        </is>
      </c>
      <c r="B11" s="7" t="inlineStr">
        <is>
          <t>NACSA-12.1.3a</t>
        </is>
      </c>
      <c r="C11" s="7" t="inlineStr"/>
      <c r="D11" s="7" t="inlineStr"/>
      <c r="E11" s="7" t="inlineStr">
        <is>
          <t>The NCII entity shall monitor compliance with signed NDAs through:
- Regular audits and reviews of information-sharing p...</t>
        </is>
      </c>
      <c r="F11" s="7" t="inlineStr">
        <is>
          <t>1. Request the most recent audit/assessment report.
2. Verify it was conducted by an approved/qualified party.
3. Confirm submission to CE NACSA within required timeframe.
4. Check that findings are tracked with remediation plans.</t>
        </is>
      </c>
      <c r="G11" s="7" t="inlineStr">
        <is>
          <t>Audit/assessment report; Assessor qualifications/approval; CE submission confirmation; Remediation tracker</t>
        </is>
      </c>
      <c r="H11" s="7" t="inlineStr">
        <is>
          <t>Inspection</t>
        </is>
      </c>
      <c r="I11" s="7" t="inlineStr"/>
      <c r="J11" s="7" t="inlineStr"/>
      <c r="K11" s="7" t="inlineStr"/>
      <c r="L11" s="7" t="inlineStr"/>
      <c r="M11" s="7" t="inlineStr"/>
      <c r="N11" s="7" t="inlineStr"/>
    </row>
    <row r="12">
      <c r="A12" s="28" t="inlineStr">
        <is>
          <t>12.1.3.2</t>
        </is>
      </c>
      <c r="B12" s="28" t="inlineStr">
        <is>
          <t>NACSA-12.1.3b</t>
        </is>
      </c>
      <c r="C12" s="28" t="inlineStr"/>
      <c r="D12" s="28" t="inlineStr"/>
      <c r="E12" s="28" t="inlineStr">
        <is>
          <t>Instances of non-compliance shall be reported to the relevant cyber security governance committee established for this p...</t>
        </is>
      </c>
      <c r="F12"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12.1.3.2.</t>
        </is>
      </c>
      <c r="G12" s="28" t="inlineStr">
        <is>
          <t>Approved policy/procedure document; Committee approval record; Version history</t>
        </is>
      </c>
      <c r="H12" s="28" t="inlineStr">
        <is>
          <t>Inspection</t>
        </is>
      </c>
      <c r="I12" s="28" t="inlineStr"/>
      <c r="J12" s="28" t="inlineStr"/>
      <c r="K12" s="28" t="inlineStr"/>
      <c r="L12" s="28" t="inlineStr"/>
      <c r="M12" s="28" t="inlineStr"/>
      <c r="N12" s="28" t="inlineStr"/>
    </row>
  </sheetData>
  <mergeCells count="2">
    <mergeCell ref="A3:N3"/>
    <mergeCell ref="A2:N2"/>
  </mergeCells>
  <conditionalFormatting sqref="M4:M13">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12"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13.0 — Physical Security (Organisation-Level)</t>
        </is>
      </c>
      <c r="B2" s="38" t="n"/>
      <c r="C2" s="38" t="n"/>
      <c r="D2" s="38" t="n"/>
      <c r="E2" s="38" t="n"/>
      <c r="F2" s="38" t="n"/>
      <c r="G2" s="38" t="n"/>
      <c r="H2" s="38" t="n"/>
      <c r="I2" s="38" t="n"/>
      <c r="J2" s="38" t="n"/>
      <c r="K2" s="38" t="n"/>
      <c r="L2" s="38" t="n"/>
      <c r="M2" s="38" t="n"/>
      <c r="N2" s="39" t="n"/>
    </row>
    <row r="3" ht="60" customHeight="1">
      <c r="A3" s="23" t="inlineStr">
        <is>
          <t>WHY: Physical compromise bypasses all logical controls. Physical security protects NCII infrastructure from unauthorised access, theft, and environmental threats.
WHAT GOOD LOOKS LIKE: Multi-layered access controls (badge/biometric), CCTV with 90+ day retention, visitor management, environmental monitoring, defined security perimeters with zoning.
KEY RISK IF ABSENT: Unauthorised physical access to servers/network equipment, environmental damage to NCII infrastructure.</t>
        </is>
      </c>
      <c r="B3" s="38" t="n"/>
      <c r="C3" s="38" t="n"/>
      <c r="D3" s="38" t="n"/>
      <c r="E3" s="38" t="n"/>
      <c r="F3" s="38" t="n"/>
      <c r="G3" s="38" t="n"/>
      <c r="H3" s="38" t="n"/>
      <c r="I3" s="38" t="n"/>
      <c r="J3" s="38" t="n"/>
      <c r="K3" s="38" t="n"/>
      <c r="L3" s="38" t="n"/>
      <c r="M3" s="38" t="n"/>
      <c r="N3" s="39" t="n"/>
    </row>
    <row r="4">
      <c r="A4" s="25" t="inlineStr">
        <is>
          <t>13.1.1</t>
        </is>
      </c>
      <c r="B4" s="25" t="inlineStr">
        <is>
          <t>NACSA-13.1.1</t>
        </is>
      </c>
      <c r="C4" s="25" t="inlineStr">
        <is>
          <t>ORG</t>
        </is>
      </c>
      <c r="D4" s="25" t="inlineStr">
        <is>
          <t>Establishment of Physical Security Procedure</t>
        </is>
      </c>
      <c r="E4" s="25" t="inlineStr">
        <is>
          <t>Assess 2 mandatory requirement(s)</t>
        </is>
      </c>
      <c r="F4" s="25" t="inlineStr"/>
      <c r="G4" s="25" t="inlineStr"/>
      <c r="H4" s="25" t="inlineStr"/>
      <c r="I4" s="25" t="inlineStr"/>
      <c r="J4" s="25" t="inlineStr"/>
      <c r="K4" s="25" t="inlineStr"/>
      <c r="L4" s="25" t="inlineStr"/>
      <c r="M4" s="26" t="inlineStr"/>
      <c r="N4" s="26" t="inlineStr"/>
    </row>
    <row r="5">
      <c r="A5" s="7" t="inlineStr">
        <is>
          <t>13.1.1.1</t>
        </is>
      </c>
      <c r="B5" s="7" t="inlineStr">
        <is>
          <t>NACSA-13.1.1a</t>
        </is>
      </c>
      <c r="C5" s="7" t="inlineStr"/>
      <c r="D5" s="7" t="inlineStr"/>
      <c r="E5" s="7" t="inlineStr">
        <is>
          <t>The NCII entity shall establish a comprehensive physical security procedure to safeguard its premises, personnel, and as...</t>
        </is>
      </c>
      <c r="F5" s="7" t="inlineStr">
        <is>
          <t>1. Request the current procedure document with approval records.
2. Verify it is formally approved by the governance committee or top management (check signatures, dates).
3. Confirm it addresses all elements specified in this clause.
4. Verify version control is maintained with change history.</t>
        </is>
      </c>
      <c r="G5" s="7" t="inlineStr">
        <is>
          <t>Approved policy/procedure document; Committee approval record; Version history</t>
        </is>
      </c>
      <c r="H5" s="7" t="inlineStr">
        <is>
          <t>Inspection / Observation</t>
        </is>
      </c>
      <c r="I5" s="7" t="inlineStr"/>
      <c r="J5" s="7" t="inlineStr"/>
      <c r="K5" s="7" t="inlineStr"/>
      <c r="L5" s="7" t="inlineStr"/>
      <c r="M5" s="7" t="inlineStr"/>
      <c r="N5" s="7" t="inlineStr"/>
    </row>
    <row r="6">
      <c r="A6" s="28" t="inlineStr">
        <is>
          <t>13.1.1.2</t>
        </is>
      </c>
      <c r="B6" s="28" t="inlineStr">
        <is>
          <t>NACSA-13.1.1b</t>
        </is>
      </c>
      <c r="C6" s="28" t="inlineStr"/>
      <c r="D6" s="28" t="inlineStr"/>
      <c r="E6" s="28" t="inlineStr">
        <is>
          <t>The procedure shall address:
- Access control mechanisms (ID badges, biometric systems).
- Surveillance and monitoring (...</t>
        </is>
      </c>
      <c r="F6" s="28" t="inlineStr">
        <is>
          <t>1. Request the IAM/access control procedure.
2. Verify MFA deployment on NCII system access.
3. Sample 15 user accounts — verify access rights match job roles.
4. Check access review records (quarterly for privileged, semi-annually for standard).</t>
        </is>
      </c>
      <c r="G6" s="28" t="inlineStr">
        <is>
          <t>IAM procedure; MFA deployment evidence; User access sample; Access review records</t>
        </is>
      </c>
      <c r="H6" s="28" t="inlineStr">
        <is>
          <t>Inspection</t>
        </is>
      </c>
      <c r="I6" s="28" t="inlineStr"/>
      <c r="J6" s="28" t="inlineStr"/>
      <c r="K6" s="28" t="inlineStr"/>
      <c r="L6" s="28" t="inlineStr"/>
      <c r="M6" s="28" t="inlineStr"/>
      <c r="N6" s="28" t="inlineStr"/>
    </row>
    <row r="7">
      <c r="A7" s="25" t="inlineStr">
        <is>
          <t>13.1.2</t>
        </is>
      </c>
      <c r="B7" s="25" t="inlineStr">
        <is>
          <t>NACSA-13.1.2</t>
        </is>
      </c>
      <c r="C7" s="25" t="inlineStr">
        <is>
          <t>ORG</t>
        </is>
      </c>
      <c r="D7" s="25" t="inlineStr">
        <is>
          <t>Alignment with Best Practices</t>
        </is>
      </c>
      <c r="E7" s="25" t="inlineStr">
        <is>
          <t>Assess 1 mandatory requirement(s)</t>
        </is>
      </c>
      <c r="F7" s="25" t="inlineStr"/>
      <c r="G7" s="25" t="inlineStr"/>
      <c r="H7" s="25" t="inlineStr"/>
      <c r="I7" s="25" t="inlineStr"/>
      <c r="J7" s="25" t="inlineStr"/>
      <c r="K7" s="25" t="inlineStr"/>
      <c r="L7" s="25" t="inlineStr"/>
      <c r="M7" s="26" t="inlineStr"/>
      <c r="N7" s="26" t="inlineStr"/>
    </row>
    <row r="8">
      <c r="A8" s="7" t="inlineStr">
        <is>
          <t>13.1.2.1</t>
        </is>
      </c>
      <c r="B8" s="7" t="inlineStr">
        <is>
          <t>NACSA-13.1.2a</t>
        </is>
      </c>
      <c r="C8" s="7" t="inlineStr"/>
      <c r="D8" s="7" t="inlineStr"/>
      <c r="E8" s="7" t="inlineStr">
        <is>
          <t>The physical security procedure shall adhere to industry standards and best practices, such as:
- ISO 27001 for informat...</t>
        </is>
      </c>
      <c r="F8" s="7" t="inlineStr">
        <is>
          <t>1. Request physical security procedure.
2. Verify multi-layered access controls for sensitive areas.
3. Check CCTV coverage map and retention period (minimum 90 days).
4. Review visitor management logs and emergency response procedures.</t>
        </is>
      </c>
      <c r="G8" s="7" t="inlineStr">
        <is>
          <t>Physical security procedure; Access control system config; CCTV coverage map; Visitor logs</t>
        </is>
      </c>
      <c r="H8" s="7" t="inlineStr">
        <is>
          <t>Inspection / Observation</t>
        </is>
      </c>
      <c r="I8" s="7" t="inlineStr"/>
      <c r="J8" s="7" t="inlineStr"/>
      <c r="K8" s="7" t="inlineStr"/>
      <c r="L8" s="7" t="inlineStr"/>
      <c r="M8" s="7" t="inlineStr"/>
      <c r="N8" s="7" t="inlineStr"/>
    </row>
    <row r="9">
      <c r="A9" s="25" t="inlineStr">
        <is>
          <t>13.1.3</t>
        </is>
      </c>
      <c r="B9" s="25" t="inlineStr">
        <is>
          <t>NACSA-13.1.3</t>
        </is>
      </c>
      <c r="C9" s="25" t="inlineStr">
        <is>
          <t>ORG</t>
        </is>
      </c>
      <c r="D9" s="25" t="inlineStr">
        <is>
          <t>Application of Physical Security Procedure</t>
        </is>
      </c>
      <c r="E9" s="25" t="inlineStr">
        <is>
          <t>Assess 2 mandatory requirement(s)</t>
        </is>
      </c>
      <c r="F9" s="25" t="inlineStr"/>
      <c r="G9" s="25" t="inlineStr"/>
      <c r="H9" s="25" t="inlineStr"/>
      <c r="I9" s="25" t="inlineStr"/>
      <c r="J9" s="25" t="inlineStr"/>
      <c r="K9" s="25" t="inlineStr"/>
      <c r="L9" s="25" t="inlineStr"/>
      <c r="M9" s="26" t="inlineStr"/>
      <c r="N9" s="26" t="inlineStr"/>
    </row>
    <row r="10">
      <c r="A10" s="28" t="inlineStr">
        <is>
          <t>13.1.3.1</t>
        </is>
      </c>
      <c r="B10" s="28" t="inlineStr">
        <is>
          <t>NACSA-13.1.3a</t>
        </is>
      </c>
      <c r="C10" s="28" t="inlineStr"/>
      <c r="D10" s="28" t="inlineStr"/>
      <c r="E10" s="28" t="inlineStr">
        <is>
          <t>The physical security procedure shall be implemented across all NCII entity's premises, including:
- Headquarters and br...</t>
        </is>
      </c>
      <c r="F10" s="28" t="inlineStr">
        <is>
          <t>1. Request physical security procedure.
2. Verify multi-layered access controls for sensitive areas.
3. Check CCTV coverage map and retention period (minimum 90 days).
4. Review visitor management logs and emergency response procedures.</t>
        </is>
      </c>
      <c r="G10" s="28" t="inlineStr">
        <is>
          <t>Physical security procedure; Access control system config; CCTV coverage map; Visitor logs</t>
        </is>
      </c>
      <c r="H10" s="28" t="inlineStr">
        <is>
          <t>Inspection / Observation</t>
        </is>
      </c>
      <c r="I10" s="28" t="inlineStr"/>
      <c r="J10" s="28" t="inlineStr"/>
      <c r="K10" s="28" t="inlineStr"/>
      <c r="L10" s="28" t="inlineStr"/>
      <c r="M10" s="28" t="inlineStr"/>
      <c r="N10" s="28" t="inlineStr"/>
    </row>
    <row r="11">
      <c r="A11" s="7" t="inlineStr">
        <is>
          <t>13.1.3.2</t>
        </is>
      </c>
      <c r="B11" s="7" t="inlineStr">
        <is>
          <t>NACSA-13.1.3b</t>
        </is>
      </c>
      <c r="C11" s="7" t="inlineStr"/>
      <c r="D11" s="7" t="inlineStr"/>
      <c r="E11" s="7" t="inlineStr">
        <is>
          <t>Employees, contractors, and visitors shall be trained and informed about the procedure to ensure compliance.</t>
        </is>
      </c>
      <c r="F11" s="7" t="inlineStr">
        <is>
          <t>1. Request physical security procedure.
2. Verify multi-layered access controls for sensitive areas.
3. Check CCTV coverage map and retention period (minimum 90 days).
4. Review visitor management logs and emergency response procedures.</t>
        </is>
      </c>
      <c r="G11" s="7" t="inlineStr">
        <is>
          <t>Physical security procedure; Access control system config; CCTV coverage map; Visitor logs</t>
        </is>
      </c>
      <c r="H11" s="7" t="inlineStr">
        <is>
          <t>Inspection</t>
        </is>
      </c>
      <c r="I11" s="7" t="inlineStr"/>
      <c r="J11" s="7" t="inlineStr"/>
      <c r="K11" s="7" t="inlineStr"/>
      <c r="L11" s="7" t="inlineStr"/>
      <c r="M11" s="7" t="inlineStr"/>
      <c r="N11" s="7" t="inlineStr"/>
    </row>
    <row r="12">
      <c r="A12" s="25" t="inlineStr">
        <is>
          <t>13.1.5</t>
        </is>
      </c>
      <c r="B12" s="25" t="inlineStr">
        <is>
          <t>NACSA-13.1.5</t>
        </is>
      </c>
      <c r="C12" s="25" t="inlineStr">
        <is>
          <t>ORG</t>
        </is>
      </c>
      <c r="D12" s="25" t="inlineStr">
        <is>
          <t>Review of Physical Security Procedure</t>
        </is>
      </c>
      <c r="E12" s="25" t="inlineStr">
        <is>
          <t>Assess 2 mandatory requirement(s)</t>
        </is>
      </c>
      <c r="F12" s="25" t="inlineStr"/>
      <c r="G12" s="25" t="inlineStr"/>
      <c r="H12" s="25" t="inlineStr"/>
      <c r="I12" s="25" t="inlineStr"/>
      <c r="J12" s="25" t="inlineStr"/>
      <c r="K12" s="25" t="inlineStr"/>
      <c r="L12" s="25" t="inlineStr"/>
      <c r="M12" s="26" t="inlineStr"/>
      <c r="N12" s="26" t="inlineStr"/>
    </row>
    <row r="13">
      <c r="A13" s="28" t="inlineStr">
        <is>
          <t>13.1.5.1</t>
        </is>
      </c>
      <c r="B13" s="28" t="inlineStr">
        <is>
          <t>NACSA-13.1.5a</t>
        </is>
      </c>
      <c r="C13" s="28" t="inlineStr"/>
      <c r="D13" s="28" t="inlineStr"/>
      <c r="E13" s="28" t="inlineStr">
        <is>
          <t>The physical security procedure shall be reviewed annually as part of routine organisational assessments, and / or whene...</t>
        </is>
      </c>
      <c r="F13" s="28"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13" s="28" t="inlineStr">
        <is>
          <t>Review report/minutes; Updated document post-review; Approval of changes</t>
        </is>
      </c>
      <c r="H13" s="28" t="inlineStr">
        <is>
          <t>Inspection / Observation</t>
        </is>
      </c>
      <c r="I13" s="28" t="inlineStr"/>
      <c r="J13" s="28" t="inlineStr"/>
      <c r="K13" s="28" t="inlineStr"/>
      <c r="L13" s="28" t="inlineStr"/>
      <c r="M13" s="28" t="inlineStr"/>
      <c r="N13" s="28" t="inlineStr"/>
    </row>
    <row r="14">
      <c r="A14" s="7" t="inlineStr">
        <is>
          <t>13.1.5.2</t>
        </is>
      </c>
      <c r="B14" s="7" t="inlineStr">
        <is>
          <t>NACSA-13.1.5b</t>
        </is>
      </c>
      <c r="C14" s="7" t="inlineStr"/>
      <c r="D14" s="7" t="inlineStr"/>
      <c r="E14" s="7" t="inlineStr">
        <is>
          <t>Reviews shall involve relevant stakeholders, including:
- Security teams.
- Facilities management.
- Legal and complianc...</t>
        </is>
      </c>
      <c r="F14" s="7" t="inlineStr">
        <is>
          <t>1. Request evidence of communication to stakeholders — emails, portal announcements, signed acknowledgements.
2. Sample 10 acknowledgement records to verify staff received and understood the communication.
3. Verify communication covers all relevant parties including contractors and third parties with NCII access.
4. Check the communication is current (not an outdated version).</t>
        </is>
      </c>
      <c r="G14" s="7" t="inlineStr">
        <is>
          <t>Relevant policy/procedure; Implementation evidence; Review/monitoring records</t>
        </is>
      </c>
      <c r="H14" s="7" t="inlineStr">
        <is>
          <t>Inspection</t>
        </is>
      </c>
      <c r="I14" s="7" t="inlineStr"/>
      <c r="J14" s="7" t="inlineStr"/>
      <c r="K14" s="7" t="inlineStr"/>
      <c r="L14" s="7" t="inlineStr"/>
      <c r="M14" s="7" t="inlineStr"/>
      <c r="N14" s="7" t="inlineStr"/>
    </row>
    <row r="15"/>
    <row r="16">
      <c r="A16" s="21" t="inlineStr">
        <is>
          <t>CoP 13.0 — Physical Security (System-Level: per NCII system)</t>
        </is>
      </c>
      <c r="B16" s="38" t="n"/>
      <c r="C16" s="38" t="n"/>
      <c r="D16" s="38" t="n"/>
      <c r="E16" s="38" t="n"/>
      <c r="F16" s="38" t="n"/>
      <c r="G16" s="38" t="n"/>
      <c r="H16" s="38" t="n"/>
      <c r="I16" s="38" t="n"/>
      <c r="J16" s="38" t="n"/>
      <c r="K16" s="38" t="n"/>
      <c r="L16" s="38" t="n"/>
      <c r="M16" s="38" t="n"/>
      <c r="N16" s="39" t="n"/>
    </row>
    <row r="17">
      <c r="A17" s="29" t="inlineStr">
        <is>
          <t>13.1.4</t>
        </is>
      </c>
      <c r="B17" s="29" t="inlineStr">
        <is>
          <t>NACSA-13.1.4-NCII-SYS-001</t>
        </is>
      </c>
      <c r="C17" s="29" t="inlineStr">
        <is>
          <t>SYSTEM</t>
        </is>
      </c>
      <c r="D17" s="29" t="inlineStr">
        <is>
          <t>Monitoring Compliance</t>
        </is>
      </c>
      <c r="E17" s="29" t="inlineStr">
        <is>
          <t>[System 1]: Assess 2 mandatory requirement(s)</t>
        </is>
      </c>
      <c r="F17" s="29" t="inlineStr"/>
      <c r="G17" s="29" t="inlineStr"/>
      <c r="H17" s="29" t="inlineStr"/>
      <c r="I17" s="29" t="inlineStr"/>
      <c r="J17" s="29" t="inlineStr"/>
      <c r="K17" s="29" t="inlineStr"/>
      <c r="L17" s="29" t="inlineStr"/>
      <c r="M17" s="26" t="inlineStr"/>
      <c r="N17" s="26" t="inlineStr"/>
    </row>
    <row r="18">
      <c r="A18" s="28" t="inlineStr">
        <is>
          <t>13.1.4.1</t>
        </is>
      </c>
      <c r="B18" s="28" t="inlineStr">
        <is>
          <t>NACSA-13.1.4a-NCII-SYS-001</t>
        </is>
      </c>
      <c r="C18" s="28" t="inlineStr"/>
      <c r="D18" s="28" t="inlineStr"/>
      <c r="E18" s="28" t="inlineStr">
        <is>
          <t>[System 1]: Compliance with the physical security procedure shall be monitored through:
- Regular inspections an...</t>
        </is>
      </c>
      <c r="F18" s="28" t="inlineStr">
        <is>
          <t>1. Request the most recent audit/assessment report.
2. Verify it was conducted by an approved/qualified party.
3. Confirm submission to CE NACSA within required timeframe.
4. Check that findings are tracked with remediation plans.</t>
        </is>
      </c>
      <c r="G18" s="28" t="inlineStr">
        <is>
          <t>Audit/assessment report; Assessor qualifications/approval; CE submission confirmation; Remediation tracker</t>
        </is>
      </c>
      <c r="H18" s="28" t="inlineStr">
        <is>
          <t>Inspection</t>
        </is>
      </c>
      <c r="I18" s="28" t="inlineStr"/>
      <c r="J18" s="28" t="inlineStr"/>
      <c r="K18" s="28" t="inlineStr"/>
      <c r="L18" s="28" t="inlineStr"/>
      <c r="M18" s="28" t="inlineStr"/>
      <c r="N18" s="28" t="inlineStr"/>
    </row>
    <row r="19">
      <c r="A19" s="7" t="inlineStr">
        <is>
          <t>13.1.4.2</t>
        </is>
      </c>
      <c r="B19" s="7" t="inlineStr">
        <is>
          <t>NACSA-13.1.4b-NCII-SYS-001</t>
        </is>
      </c>
      <c r="C19" s="7" t="inlineStr"/>
      <c r="D19" s="7" t="inlineStr"/>
      <c r="E19" s="7" t="inlineStr">
        <is>
          <t>[System 1]: Any instances of non-compliance shall be documented and addressed promptly.</t>
        </is>
      </c>
      <c r="F19"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13.1.4.2.</t>
        </is>
      </c>
      <c r="G19" s="7" t="inlineStr">
        <is>
          <t>Relevant policy/procedure; Implementation evidence; Review/monitoring records</t>
        </is>
      </c>
      <c r="H19" s="7" t="inlineStr">
        <is>
          <t>Inspection</t>
        </is>
      </c>
      <c r="I19" s="7" t="inlineStr"/>
      <c r="J19" s="7" t="inlineStr"/>
      <c r="K19" s="7" t="inlineStr"/>
      <c r="L19" s="7" t="inlineStr"/>
      <c r="M19" s="7" t="inlineStr"/>
      <c r="N19" s="7" t="inlineStr"/>
    </row>
    <row r="20">
      <c r="A20" s="29" t="inlineStr">
        <is>
          <t>13.1.4</t>
        </is>
      </c>
      <c r="B20" s="29" t="inlineStr">
        <is>
          <t>NACSA-13.1.4-NCII-SYS-002</t>
        </is>
      </c>
      <c r="C20" s="29" t="inlineStr">
        <is>
          <t>SYSTEM</t>
        </is>
      </c>
      <c r="D20" s="29" t="inlineStr">
        <is>
          <t>Monitoring Compliance</t>
        </is>
      </c>
      <c r="E20" s="29" t="inlineStr">
        <is>
          <t>[System 2]: Assess 2 mandatory requirement(s)</t>
        </is>
      </c>
      <c r="F20" s="29" t="inlineStr"/>
      <c r="G20" s="29" t="inlineStr"/>
      <c r="H20" s="29" t="inlineStr"/>
      <c r="I20" s="29" t="inlineStr"/>
      <c r="J20" s="29" t="inlineStr"/>
      <c r="K20" s="29" t="inlineStr"/>
      <c r="L20" s="29" t="inlineStr"/>
      <c r="M20" s="26" t="inlineStr"/>
      <c r="N20" s="26" t="inlineStr"/>
    </row>
    <row r="21">
      <c r="A21" s="28" t="inlineStr">
        <is>
          <t>13.1.4.1</t>
        </is>
      </c>
      <c r="B21" s="28" t="inlineStr">
        <is>
          <t>NACSA-13.1.4a-NCII-SYS-002</t>
        </is>
      </c>
      <c r="C21" s="28" t="inlineStr"/>
      <c r="D21" s="28" t="inlineStr"/>
      <c r="E21" s="28" t="inlineStr">
        <is>
          <t>[System 2]: Compliance with the physical security procedure shall be monitored through:
- Regular inspections an...</t>
        </is>
      </c>
      <c r="F21" s="28" t="inlineStr">
        <is>
          <t>1. Request the most recent audit/assessment report.
2. Verify it was conducted by an approved/qualified party.
3. Confirm submission to CE NACSA within required timeframe.
4. Check that findings are tracked with remediation plans.</t>
        </is>
      </c>
      <c r="G21" s="28" t="inlineStr">
        <is>
          <t>Audit/assessment report; Assessor qualifications/approval; CE submission confirmation; Remediation tracker</t>
        </is>
      </c>
      <c r="H21" s="28" t="inlineStr">
        <is>
          <t>Inspection</t>
        </is>
      </c>
      <c r="I21" s="28" t="inlineStr"/>
      <c r="J21" s="28" t="inlineStr"/>
      <c r="K21" s="28" t="inlineStr"/>
      <c r="L21" s="28" t="inlineStr"/>
      <c r="M21" s="28" t="inlineStr"/>
      <c r="N21" s="28" t="inlineStr"/>
    </row>
    <row r="22">
      <c r="A22" s="7" t="inlineStr">
        <is>
          <t>13.1.4.2</t>
        </is>
      </c>
      <c r="B22" s="7" t="inlineStr">
        <is>
          <t>NACSA-13.1.4b-NCII-SYS-002</t>
        </is>
      </c>
      <c r="C22" s="7" t="inlineStr"/>
      <c r="D22" s="7" t="inlineStr"/>
      <c r="E22" s="7" t="inlineStr">
        <is>
          <t>[System 2]: Any instances of non-compliance shall be documented and addressed promptly.</t>
        </is>
      </c>
      <c r="F22"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13.1.4.2.</t>
        </is>
      </c>
      <c r="G22" s="7" t="inlineStr">
        <is>
          <t>Relevant policy/procedure; Implementation evidence; Review/monitoring records</t>
        </is>
      </c>
      <c r="H22" s="7" t="inlineStr">
        <is>
          <t>Inspection</t>
        </is>
      </c>
      <c r="I22" s="7" t="inlineStr"/>
      <c r="J22" s="7" t="inlineStr"/>
      <c r="K22" s="7" t="inlineStr"/>
      <c r="L22" s="7" t="inlineStr"/>
      <c r="M22" s="7" t="inlineStr"/>
      <c r="N22" s="7" t="inlineStr"/>
    </row>
    <row r="23">
      <c r="A23" s="29" t="inlineStr">
        <is>
          <t>13.1.4</t>
        </is>
      </c>
      <c r="B23" s="29" t="inlineStr">
        <is>
          <t>NACSA-13.1.4-NCII-SYS-003</t>
        </is>
      </c>
      <c r="C23" s="29" t="inlineStr">
        <is>
          <t>SYSTEM</t>
        </is>
      </c>
      <c r="D23" s="29" t="inlineStr">
        <is>
          <t>Monitoring Compliance</t>
        </is>
      </c>
      <c r="E23" s="29" t="inlineStr">
        <is>
          <t>[System 3]: Assess 2 mandatory requirement(s)</t>
        </is>
      </c>
      <c r="F23" s="29" t="inlineStr"/>
      <c r="G23" s="29" t="inlineStr"/>
      <c r="H23" s="29" t="inlineStr"/>
      <c r="I23" s="29" t="inlineStr"/>
      <c r="J23" s="29" t="inlineStr"/>
      <c r="K23" s="29" t="inlineStr"/>
      <c r="L23" s="29" t="inlineStr"/>
      <c r="M23" s="26" t="inlineStr"/>
      <c r="N23" s="26" t="inlineStr"/>
    </row>
    <row r="24">
      <c r="A24" s="28" t="inlineStr">
        <is>
          <t>13.1.4.1</t>
        </is>
      </c>
      <c r="B24" s="28" t="inlineStr">
        <is>
          <t>NACSA-13.1.4a-NCII-SYS-003</t>
        </is>
      </c>
      <c r="C24" s="28" t="inlineStr"/>
      <c r="D24" s="28" t="inlineStr"/>
      <c r="E24" s="28" t="inlineStr">
        <is>
          <t>[System 3]: Compliance with the physical security procedure shall be monitored through:
- Regular inspections an...</t>
        </is>
      </c>
      <c r="F24" s="28" t="inlineStr">
        <is>
          <t>1. Request the most recent audit/assessment report.
2. Verify it was conducted by an approved/qualified party.
3. Confirm submission to CE NACSA within required timeframe.
4. Check that findings are tracked with remediation plans.</t>
        </is>
      </c>
      <c r="G24" s="28" t="inlineStr">
        <is>
          <t>Audit/assessment report; Assessor qualifications/approval; CE submission confirmation; Remediation tracker</t>
        </is>
      </c>
      <c r="H24" s="28" t="inlineStr">
        <is>
          <t>Inspection</t>
        </is>
      </c>
      <c r="I24" s="28" t="inlineStr"/>
      <c r="J24" s="28" t="inlineStr"/>
      <c r="K24" s="28" t="inlineStr"/>
      <c r="L24" s="28" t="inlineStr"/>
      <c r="M24" s="28" t="inlineStr"/>
      <c r="N24" s="28" t="inlineStr"/>
    </row>
    <row r="25">
      <c r="A25" s="7" t="inlineStr">
        <is>
          <t>13.1.4.2</t>
        </is>
      </c>
      <c r="B25" s="7" t="inlineStr">
        <is>
          <t>NACSA-13.1.4b-NCII-SYS-003</t>
        </is>
      </c>
      <c r="C25" s="7" t="inlineStr"/>
      <c r="D25" s="7" t="inlineStr"/>
      <c r="E25" s="7" t="inlineStr">
        <is>
          <t>[System 3]: Any instances of non-compliance shall be documented and addressed promptly.</t>
        </is>
      </c>
      <c r="F25"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13.1.4.2.</t>
        </is>
      </c>
      <c r="G25" s="7" t="inlineStr">
        <is>
          <t>Relevant policy/procedure; Implementation evidence; Review/monitoring records</t>
        </is>
      </c>
      <c r="H25" s="7" t="inlineStr">
        <is>
          <t>Inspection</t>
        </is>
      </c>
      <c r="I25" s="7" t="inlineStr"/>
      <c r="J25" s="7" t="inlineStr"/>
      <c r="K25" s="7" t="inlineStr"/>
      <c r="L25" s="7" t="inlineStr"/>
      <c r="M25" s="7" t="inlineStr"/>
      <c r="N25" s="7" t="inlineStr"/>
    </row>
    <row r="26">
      <c r="A26" s="29" t="inlineStr">
        <is>
          <t>13.2.1</t>
        </is>
      </c>
      <c r="B26" s="29" t="inlineStr">
        <is>
          <t>NACSA-13.2.1-NCII-SYS-001</t>
        </is>
      </c>
      <c r="C26" s="29" t="inlineStr">
        <is>
          <t>SYSTEM</t>
        </is>
      </c>
      <c r="D26" s="29" t="inlineStr">
        <is>
          <t>Establishment of Security Perimeters</t>
        </is>
      </c>
      <c r="E26" s="29" t="inlineStr">
        <is>
          <t>[System 1]: Assess 3 mandatory requirement(s) + 1 improvement opportunity(ies)</t>
        </is>
      </c>
      <c r="F26" s="29" t="inlineStr"/>
      <c r="G26" s="29" t="inlineStr"/>
      <c r="H26" s="29" t="inlineStr"/>
      <c r="I26" s="29" t="inlineStr"/>
      <c r="J26" s="29" t="inlineStr"/>
      <c r="K26" s="29" t="inlineStr"/>
      <c r="L26" s="29" t="inlineStr"/>
      <c r="M26" s="26" t="inlineStr"/>
      <c r="N26" s="26" t="inlineStr"/>
    </row>
    <row r="27">
      <c r="A27" s="28" t="inlineStr">
        <is>
          <t>13.2.1.1</t>
        </is>
      </c>
      <c r="B27" s="28" t="inlineStr">
        <is>
          <t>NACSA-13.2.1a-NCII-SYS-001</t>
        </is>
      </c>
      <c r="C27" s="28" t="inlineStr"/>
      <c r="D27" s="28" t="inlineStr"/>
      <c r="E27" s="28" t="inlineStr">
        <is>
          <t>[System 1]: The NCII entity shall establish security perimeters to prevent unauthorised physical access, damage ...</t>
        </is>
      </c>
      <c r="F27" s="28" t="inlineStr">
        <is>
          <t>1. Request the physical security procedure covering access control, CCTV, and visitor management.
2. Conduct physical inspection of 2 NCII locations — verify access controls, security zones, and CCTV coverage.
3. Request CCTV footage playback for 3 random dates to verify 30-day retention.
4. Review visitor logs for the last 30 days — verify sign-in/sign-out recorded.</t>
        </is>
      </c>
      <c r="G27" s="28" t="inlineStr">
        <is>
          <t>Approved policy/procedure document; Committee approval record; Version history</t>
        </is>
      </c>
      <c r="H27" s="28" t="inlineStr">
        <is>
          <t>Inspection / Observation</t>
        </is>
      </c>
      <c r="I27" s="28" t="inlineStr"/>
      <c r="J27" s="28" t="inlineStr"/>
      <c r="K27" s="28" t="inlineStr"/>
      <c r="L27" s="28" t="inlineStr"/>
      <c r="M27" s="28" t="inlineStr"/>
      <c r="N27" s="28" t="inlineStr"/>
    </row>
    <row r="28">
      <c r="A28" s="27" t="inlineStr">
        <is>
          <t>13.2.1.2</t>
        </is>
      </c>
      <c r="B28" s="27" t="inlineStr">
        <is>
          <t>NACSA-13.2.1b-NCII-SYS-001</t>
        </is>
      </c>
      <c r="C28" s="27" t="inlineStr"/>
      <c r="D28" s="27" t="inlineStr"/>
      <c r="E28" s="27" t="inlineStr">
        <is>
          <t>(Tier 2 -- Improvement Opportunity) The security perimeters may include the following:
- Outer perimeters (fences, g...</t>
        </is>
      </c>
      <c r="F28" s="27" t="inlineStr">
        <is>
          <t>1. Request physical security procedure.
2. Verify multi-layered access controls for sensitive areas.
3. Check CCTV coverage map and retention period (minimum 90 days).
4. Review visitor management logs and emergency response procedures.</t>
        </is>
      </c>
      <c r="G28" s="27" t="inlineStr">
        <is>
          <t>Physical security procedure; Access control system config; CCTV coverage map; Visitor logs</t>
        </is>
      </c>
      <c r="H28" s="27" t="inlineStr">
        <is>
          <t>Inspection / Observation</t>
        </is>
      </c>
      <c r="I28" s="27" t="inlineStr"/>
      <c r="J28" s="27" t="inlineStr"/>
      <c r="K28" s="27" t="inlineStr"/>
      <c r="L28" s="27" t="inlineStr"/>
      <c r="M28" s="27" t="inlineStr"/>
      <c r="N28" s="27" t="inlineStr"/>
    </row>
    <row r="29">
      <c r="A29" s="28" t="inlineStr">
        <is>
          <t>13.2.1.3</t>
        </is>
      </c>
      <c r="B29" s="28" t="inlineStr">
        <is>
          <t>NACSA-13.2.1c-NCII-SYS-001</t>
        </is>
      </c>
      <c r="C29" s="28" t="inlineStr"/>
      <c r="D29" s="28" t="inlineStr"/>
      <c r="E29" s="28" t="inlineStr">
        <is>
          <t>[System 1]: Clear signage shall indicate authorised access zones and restricted areas.</t>
        </is>
      </c>
      <c r="F29" s="28" t="inlineStr">
        <is>
          <t>1. Request the security zone classification document.
2. Verify zones are defined (outer, restricted, high-security) with appropriate controls per zone.
3. Inspect entry points to restricted zones — verify access control mechanisms.
4. Check that NCII systems are located within appropriate security zones.</t>
        </is>
      </c>
      <c r="G29" s="28" t="inlineStr">
        <is>
          <t>Relevant policy/procedure; Implementation evidence; Review/monitoring records</t>
        </is>
      </c>
      <c r="H29" s="28" t="inlineStr">
        <is>
          <t>Inspection</t>
        </is>
      </c>
      <c r="I29" s="28" t="inlineStr"/>
      <c r="J29" s="28" t="inlineStr"/>
      <c r="K29" s="28" t="inlineStr"/>
      <c r="L29" s="28" t="inlineStr"/>
      <c r="M29" s="28" t="inlineStr"/>
      <c r="N29" s="28" t="inlineStr"/>
    </row>
    <row r="30">
      <c r="A30" s="7" t="inlineStr">
        <is>
          <t>13.2.1.4</t>
        </is>
      </c>
      <c r="B30" s="7" t="inlineStr">
        <is>
          <t>NACSA-13.2.1d-NCII-SYS-001</t>
        </is>
      </c>
      <c r="C30" s="7" t="inlineStr"/>
      <c r="D30" s="7" t="inlineStr"/>
      <c r="E30" s="7" t="inlineStr">
        <is>
          <t>[System 1]: Entry points shall be equipped with:
- Locks, turnstiles, or electronic access systems.
- Video surv...</t>
        </is>
      </c>
      <c r="F30"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13.2.1.4.</t>
        </is>
      </c>
      <c r="G30" s="7" t="inlineStr">
        <is>
          <t>Relevant policy/procedure; Implementation evidence; Review/monitoring records</t>
        </is>
      </c>
      <c r="H30" s="7" t="inlineStr">
        <is>
          <t>Inspection</t>
        </is>
      </c>
      <c r="I30" s="7" t="inlineStr"/>
      <c r="J30" s="7" t="inlineStr"/>
      <c r="K30" s="7" t="inlineStr"/>
      <c r="L30" s="7" t="inlineStr"/>
      <c r="M30" s="7" t="inlineStr"/>
      <c r="N30" s="7" t="inlineStr"/>
    </row>
    <row r="31">
      <c r="A31" s="29" t="inlineStr">
        <is>
          <t>13.2.1</t>
        </is>
      </c>
      <c r="B31" s="29" t="inlineStr">
        <is>
          <t>NACSA-13.2.1-NCII-SYS-002</t>
        </is>
      </c>
      <c r="C31" s="29" t="inlineStr">
        <is>
          <t>SYSTEM</t>
        </is>
      </c>
      <c r="D31" s="29" t="inlineStr">
        <is>
          <t>Establishment of Security Perimeters</t>
        </is>
      </c>
      <c r="E31" s="29" t="inlineStr">
        <is>
          <t>[System 2]: Assess 3 mandatory requirement(s) + 1 improvement opportunity(ies)</t>
        </is>
      </c>
      <c r="F31" s="29" t="inlineStr"/>
      <c r="G31" s="29" t="inlineStr"/>
      <c r="H31" s="29" t="inlineStr"/>
      <c r="I31" s="29" t="inlineStr"/>
      <c r="J31" s="29" t="inlineStr"/>
      <c r="K31" s="29" t="inlineStr"/>
      <c r="L31" s="29" t="inlineStr"/>
      <c r="M31" s="26" t="inlineStr"/>
      <c r="N31" s="26" t="inlineStr"/>
    </row>
    <row r="32">
      <c r="A32" s="28" t="inlineStr">
        <is>
          <t>13.2.1.1</t>
        </is>
      </c>
      <c r="B32" s="28" t="inlineStr">
        <is>
          <t>NACSA-13.2.1a-NCII-SYS-002</t>
        </is>
      </c>
      <c r="C32" s="28" t="inlineStr"/>
      <c r="D32" s="28" t="inlineStr"/>
      <c r="E32" s="28" t="inlineStr">
        <is>
          <t>[System 2]: The NCII entity shall establish security perimeters to prevent unauthorised physical access, damage ...</t>
        </is>
      </c>
      <c r="F32" s="28" t="inlineStr">
        <is>
          <t>1. Request the physical security procedure covering access control, CCTV, and visitor management.
2. Conduct physical inspection of 2 NCII locations — verify access controls, security zones, and CCTV coverage.
3. Request CCTV footage playback for 3 random dates to verify 30-day retention.
4. Review visitor logs for the last 30 days — verify sign-in/sign-out recorded.</t>
        </is>
      </c>
      <c r="G32" s="28" t="inlineStr">
        <is>
          <t>Approved policy/procedure document; Committee approval record; Version history</t>
        </is>
      </c>
      <c r="H32" s="28" t="inlineStr">
        <is>
          <t>Inspection / Observation</t>
        </is>
      </c>
      <c r="I32" s="28" t="inlineStr"/>
      <c r="J32" s="28" t="inlineStr"/>
      <c r="K32" s="28" t="inlineStr"/>
      <c r="L32" s="28" t="inlineStr"/>
      <c r="M32" s="28" t="inlineStr"/>
      <c r="N32" s="28" t="inlineStr"/>
    </row>
    <row r="33">
      <c r="A33" s="27" t="inlineStr">
        <is>
          <t>13.2.1.2</t>
        </is>
      </c>
      <c r="B33" s="27" t="inlineStr">
        <is>
          <t>NACSA-13.2.1b-NCII-SYS-002</t>
        </is>
      </c>
      <c r="C33" s="27" t="inlineStr"/>
      <c r="D33" s="27" t="inlineStr"/>
      <c r="E33" s="27" t="inlineStr">
        <is>
          <t>(Tier 2 -- Improvement Opportunity) The security perimeters may include the following:
- Outer perimeters (fences, g...</t>
        </is>
      </c>
      <c r="F33" s="27" t="inlineStr">
        <is>
          <t>1. Request physical security procedure.
2. Verify multi-layered access controls for sensitive areas.
3. Check CCTV coverage map and retention period (minimum 90 days).
4. Review visitor management logs and emergency response procedures.</t>
        </is>
      </c>
      <c r="G33" s="27" t="inlineStr">
        <is>
          <t>Physical security procedure; Access control system config; CCTV coverage map; Visitor logs</t>
        </is>
      </c>
      <c r="H33" s="27" t="inlineStr">
        <is>
          <t>Inspection / Observation</t>
        </is>
      </c>
      <c r="I33" s="27" t="inlineStr"/>
      <c r="J33" s="27" t="inlineStr"/>
      <c r="K33" s="27" t="inlineStr"/>
      <c r="L33" s="27" t="inlineStr"/>
      <c r="M33" s="27" t="inlineStr"/>
      <c r="N33" s="27" t="inlineStr"/>
    </row>
    <row r="34">
      <c r="A34" s="28" t="inlineStr">
        <is>
          <t>13.2.1.3</t>
        </is>
      </c>
      <c r="B34" s="28" t="inlineStr">
        <is>
          <t>NACSA-13.2.1c-NCII-SYS-002</t>
        </is>
      </c>
      <c r="C34" s="28" t="inlineStr"/>
      <c r="D34" s="28" t="inlineStr"/>
      <c r="E34" s="28" t="inlineStr">
        <is>
          <t>[System 2]: Clear signage shall indicate authorised access zones and restricted areas.</t>
        </is>
      </c>
      <c r="F34" s="28" t="inlineStr">
        <is>
          <t>1. Request the security zone classification document.
2. Verify zones are defined (outer, restricted, high-security) with appropriate controls per zone.
3. Inspect entry points to restricted zones — verify access control mechanisms.
4. Check that NCII systems are located within appropriate security zones.</t>
        </is>
      </c>
      <c r="G34" s="28" t="inlineStr">
        <is>
          <t>Relevant policy/procedure; Implementation evidence; Review/monitoring records</t>
        </is>
      </c>
      <c r="H34" s="28" t="inlineStr">
        <is>
          <t>Inspection</t>
        </is>
      </c>
      <c r="I34" s="28" t="inlineStr"/>
      <c r="J34" s="28" t="inlineStr"/>
      <c r="K34" s="28" t="inlineStr"/>
      <c r="L34" s="28" t="inlineStr"/>
      <c r="M34" s="28" t="inlineStr"/>
      <c r="N34" s="28" t="inlineStr"/>
    </row>
    <row r="35">
      <c r="A35" s="7" t="inlineStr">
        <is>
          <t>13.2.1.4</t>
        </is>
      </c>
      <c r="B35" s="7" t="inlineStr">
        <is>
          <t>NACSA-13.2.1d-NCII-SYS-002</t>
        </is>
      </c>
      <c r="C35" s="7" t="inlineStr"/>
      <c r="D35" s="7" t="inlineStr"/>
      <c r="E35" s="7" t="inlineStr">
        <is>
          <t>[System 2]: Entry points shall be equipped with:
- Locks, turnstiles, or electronic access systems.
- Video surv...</t>
        </is>
      </c>
      <c r="F35"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13.2.1.4.</t>
        </is>
      </c>
      <c r="G35" s="7" t="inlineStr">
        <is>
          <t>Relevant policy/procedure; Implementation evidence; Review/monitoring records</t>
        </is>
      </c>
      <c r="H35" s="7" t="inlineStr">
        <is>
          <t>Inspection</t>
        </is>
      </c>
      <c r="I35" s="7" t="inlineStr"/>
      <c r="J35" s="7" t="inlineStr"/>
      <c r="K35" s="7" t="inlineStr"/>
      <c r="L35" s="7" t="inlineStr"/>
      <c r="M35" s="7" t="inlineStr"/>
      <c r="N35" s="7" t="inlineStr"/>
    </row>
    <row r="36">
      <c r="A36" s="29" t="inlineStr">
        <is>
          <t>13.2.1</t>
        </is>
      </c>
      <c r="B36" s="29" t="inlineStr">
        <is>
          <t>NACSA-13.2.1-NCII-SYS-003</t>
        </is>
      </c>
      <c r="C36" s="29" t="inlineStr">
        <is>
          <t>SYSTEM</t>
        </is>
      </c>
      <c r="D36" s="29" t="inlineStr">
        <is>
          <t>Establishment of Security Perimeters</t>
        </is>
      </c>
      <c r="E36" s="29" t="inlineStr">
        <is>
          <t>[System 3]: Assess 3 mandatory requirement(s) + 1 improvement opportunity(ies)</t>
        </is>
      </c>
      <c r="F36" s="29" t="inlineStr"/>
      <c r="G36" s="29" t="inlineStr"/>
      <c r="H36" s="29" t="inlineStr"/>
      <c r="I36" s="29" t="inlineStr"/>
      <c r="J36" s="29" t="inlineStr"/>
      <c r="K36" s="29" t="inlineStr"/>
      <c r="L36" s="29" t="inlineStr"/>
      <c r="M36" s="26" t="inlineStr"/>
      <c r="N36" s="26" t="inlineStr"/>
    </row>
    <row r="37">
      <c r="A37" s="28" t="inlineStr">
        <is>
          <t>13.2.1.1</t>
        </is>
      </c>
      <c r="B37" s="28" t="inlineStr">
        <is>
          <t>NACSA-13.2.1a-NCII-SYS-003</t>
        </is>
      </c>
      <c r="C37" s="28" t="inlineStr"/>
      <c r="D37" s="28" t="inlineStr"/>
      <c r="E37" s="28" t="inlineStr">
        <is>
          <t>[System 3]: The NCII entity shall establish security perimeters to prevent unauthorised physical access, damage ...</t>
        </is>
      </c>
      <c r="F37" s="28" t="inlineStr">
        <is>
          <t>1. Request the physical security procedure covering access control, CCTV, and visitor management.
2. Conduct physical inspection of 2 NCII locations — verify access controls, security zones, and CCTV coverage.
3. Request CCTV footage playback for 3 random dates to verify 30-day retention.
4. Review visitor logs for the last 30 days — verify sign-in/sign-out recorded.</t>
        </is>
      </c>
      <c r="G37" s="28" t="inlineStr">
        <is>
          <t>Approved policy/procedure document; Committee approval record; Version history</t>
        </is>
      </c>
      <c r="H37" s="28" t="inlineStr">
        <is>
          <t>Inspection / Observation</t>
        </is>
      </c>
      <c r="I37" s="28" t="inlineStr"/>
      <c r="J37" s="28" t="inlineStr"/>
      <c r="K37" s="28" t="inlineStr"/>
      <c r="L37" s="28" t="inlineStr"/>
      <c r="M37" s="28" t="inlineStr"/>
      <c r="N37" s="28" t="inlineStr"/>
    </row>
    <row r="38">
      <c r="A38" s="27" t="inlineStr">
        <is>
          <t>13.2.1.2</t>
        </is>
      </c>
      <c r="B38" s="27" t="inlineStr">
        <is>
          <t>NACSA-13.2.1b-NCII-SYS-003</t>
        </is>
      </c>
      <c r="C38" s="27" t="inlineStr"/>
      <c r="D38" s="27" t="inlineStr"/>
      <c r="E38" s="27" t="inlineStr">
        <is>
          <t>(Tier 2 -- Improvement Opportunity) The security perimeters may include the following:
- Outer perimeters (fences, g...</t>
        </is>
      </c>
      <c r="F38" s="27" t="inlineStr">
        <is>
          <t>1. Request physical security procedure.
2. Verify multi-layered access controls for sensitive areas.
3. Check CCTV coverage map and retention period (minimum 90 days).
4. Review visitor management logs and emergency response procedures.</t>
        </is>
      </c>
      <c r="G38" s="27" t="inlineStr">
        <is>
          <t>Physical security procedure; Access control system config; CCTV coverage map; Visitor logs</t>
        </is>
      </c>
      <c r="H38" s="27" t="inlineStr">
        <is>
          <t>Inspection / Observation</t>
        </is>
      </c>
      <c r="I38" s="27" t="inlineStr"/>
      <c r="J38" s="27" t="inlineStr"/>
      <c r="K38" s="27" t="inlineStr"/>
      <c r="L38" s="27" t="inlineStr"/>
      <c r="M38" s="27" t="inlineStr"/>
      <c r="N38" s="27" t="inlineStr"/>
    </row>
    <row r="39">
      <c r="A39" s="28" t="inlineStr">
        <is>
          <t>13.2.1.3</t>
        </is>
      </c>
      <c r="B39" s="28" t="inlineStr">
        <is>
          <t>NACSA-13.2.1c-NCII-SYS-003</t>
        </is>
      </c>
      <c r="C39" s="28" t="inlineStr"/>
      <c r="D39" s="28" t="inlineStr"/>
      <c r="E39" s="28" t="inlineStr">
        <is>
          <t>[System 3]: Clear signage shall indicate authorised access zones and restricted areas.</t>
        </is>
      </c>
      <c r="F39" s="28" t="inlineStr">
        <is>
          <t>1. Request the security zone classification document.
2. Verify zones are defined (outer, restricted, high-security) with appropriate controls per zone.
3. Inspect entry points to restricted zones — verify access control mechanisms.
4. Check that NCII systems are located within appropriate security zones.</t>
        </is>
      </c>
      <c r="G39" s="28" t="inlineStr">
        <is>
          <t>Relevant policy/procedure; Implementation evidence; Review/monitoring records</t>
        </is>
      </c>
      <c r="H39" s="28" t="inlineStr">
        <is>
          <t>Inspection</t>
        </is>
      </c>
      <c r="I39" s="28" t="inlineStr"/>
      <c r="J39" s="28" t="inlineStr"/>
      <c r="K39" s="28" t="inlineStr"/>
      <c r="L39" s="28" t="inlineStr"/>
      <c r="M39" s="28" t="inlineStr"/>
      <c r="N39" s="28" t="inlineStr"/>
    </row>
    <row r="40">
      <c r="A40" s="7" t="inlineStr">
        <is>
          <t>13.2.1.4</t>
        </is>
      </c>
      <c r="B40" s="7" t="inlineStr">
        <is>
          <t>NACSA-13.2.1d-NCII-SYS-003</t>
        </is>
      </c>
      <c r="C40" s="7" t="inlineStr"/>
      <c r="D40" s="7" t="inlineStr"/>
      <c r="E40" s="7" t="inlineStr">
        <is>
          <t>[System 3]: Entry points shall be equipped with:
- Locks, turnstiles, or electronic access systems.
- Video surv...</t>
        </is>
      </c>
      <c r="F40"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13.2.1.4.</t>
        </is>
      </c>
      <c r="G40" s="7" t="inlineStr">
        <is>
          <t>Relevant policy/procedure; Implementation evidence; Review/monitoring records</t>
        </is>
      </c>
      <c r="H40" s="7" t="inlineStr">
        <is>
          <t>Inspection</t>
        </is>
      </c>
      <c r="I40" s="7" t="inlineStr"/>
      <c r="J40" s="7" t="inlineStr"/>
      <c r="K40" s="7" t="inlineStr"/>
      <c r="L40" s="7" t="inlineStr"/>
      <c r="M40" s="7" t="inlineStr"/>
      <c r="N40" s="7" t="inlineStr"/>
    </row>
    <row r="41">
      <c r="A41" s="29" t="inlineStr">
        <is>
          <t>13.2.2</t>
        </is>
      </c>
      <c r="B41" s="29" t="inlineStr">
        <is>
          <t>NACSA-13.2.2-NCII-SYS-001</t>
        </is>
      </c>
      <c r="C41" s="29" t="inlineStr">
        <is>
          <t>SYSTEM</t>
        </is>
      </c>
      <c r="D41" s="29" t="inlineStr">
        <is>
          <t>Monitoring</t>
        </is>
      </c>
      <c r="E41" s="29" t="inlineStr">
        <is>
          <t>[System 1]: Assess 1 mandatory requirement(s)</t>
        </is>
      </c>
      <c r="F41" s="29" t="inlineStr"/>
      <c r="G41" s="29" t="inlineStr"/>
      <c r="H41" s="29" t="inlineStr"/>
      <c r="I41" s="29" t="inlineStr"/>
      <c r="J41" s="29" t="inlineStr"/>
      <c r="K41" s="29" t="inlineStr"/>
      <c r="L41" s="29" t="inlineStr"/>
      <c r="M41" s="26" t="inlineStr"/>
      <c r="N41" s="26" t="inlineStr"/>
    </row>
    <row r="42">
      <c r="A42" s="28" t="inlineStr">
        <is>
          <t>13.2.2.1</t>
        </is>
      </c>
      <c r="B42" s="28" t="inlineStr">
        <is>
          <t>NACSA-13.2.2a-NCII-SYS-001</t>
        </is>
      </c>
      <c r="C42" s="28" t="inlineStr"/>
      <c r="D42" s="28" t="inlineStr"/>
      <c r="E42" s="28" t="inlineStr">
        <is>
          <t>[System 1]: Continuous monitoring of the NCII entity's premises shall be implemented to prevent unauthorised phy...</t>
        </is>
      </c>
      <c r="F42"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13.2.2.1.</t>
        </is>
      </c>
      <c r="G42" s="28" t="inlineStr">
        <is>
          <t>Approved policy/procedure document; Committee approval record; Version history</t>
        </is>
      </c>
      <c r="H42" s="28" t="inlineStr">
        <is>
          <t>Inspection</t>
        </is>
      </c>
      <c r="I42" s="28" t="inlineStr"/>
      <c r="J42" s="28" t="inlineStr"/>
      <c r="K42" s="28" t="inlineStr"/>
      <c r="L42" s="28" t="inlineStr"/>
      <c r="M42" s="28" t="inlineStr"/>
      <c r="N42" s="28" t="inlineStr"/>
    </row>
    <row r="43">
      <c r="A43" s="29" t="inlineStr">
        <is>
          <t>13.2.2</t>
        </is>
      </c>
      <c r="B43" s="29" t="inlineStr">
        <is>
          <t>NACSA-13.2.2-NCII-SYS-002</t>
        </is>
      </c>
      <c r="C43" s="29" t="inlineStr">
        <is>
          <t>SYSTEM</t>
        </is>
      </c>
      <c r="D43" s="29" t="inlineStr">
        <is>
          <t>Monitoring</t>
        </is>
      </c>
      <c r="E43" s="29" t="inlineStr">
        <is>
          <t>[System 2]: Assess 1 mandatory requirement(s)</t>
        </is>
      </c>
      <c r="F43" s="29" t="inlineStr"/>
      <c r="G43" s="29" t="inlineStr"/>
      <c r="H43" s="29" t="inlineStr"/>
      <c r="I43" s="29" t="inlineStr"/>
      <c r="J43" s="29" t="inlineStr"/>
      <c r="K43" s="29" t="inlineStr"/>
      <c r="L43" s="29" t="inlineStr"/>
      <c r="M43" s="26" t="inlineStr"/>
      <c r="N43" s="26" t="inlineStr"/>
    </row>
    <row r="44">
      <c r="A44" s="7" t="inlineStr">
        <is>
          <t>13.2.2.1</t>
        </is>
      </c>
      <c r="B44" s="7" t="inlineStr">
        <is>
          <t>NACSA-13.2.2a-NCII-SYS-002</t>
        </is>
      </c>
      <c r="C44" s="7" t="inlineStr"/>
      <c r="D44" s="7" t="inlineStr"/>
      <c r="E44" s="7" t="inlineStr">
        <is>
          <t>[System 2]: Continuous monitoring of the NCII entity's premises shall be implemented to prevent unauthorised phy...</t>
        </is>
      </c>
      <c r="F44"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13.2.2.1.</t>
        </is>
      </c>
      <c r="G44" s="7" t="inlineStr">
        <is>
          <t>Approved policy/procedure document; Committee approval record; Version history</t>
        </is>
      </c>
      <c r="H44" s="7" t="inlineStr">
        <is>
          <t>Inspection</t>
        </is>
      </c>
      <c r="I44" s="7" t="inlineStr"/>
      <c r="J44" s="7" t="inlineStr"/>
      <c r="K44" s="7" t="inlineStr"/>
      <c r="L44" s="7" t="inlineStr"/>
      <c r="M44" s="7" t="inlineStr"/>
      <c r="N44" s="7" t="inlineStr"/>
    </row>
    <row r="45">
      <c r="A45" s="29" t="inlineStr">
        <is>
          <t>13.2.2</t>
        </is>
      </c>
      <c r="B45" s="29" t="inlineStr">
        <is>
          <t>NACSA-13.2.2-NCII-SYS-003</t>
        </is>
      </c>
      <c r="C45" s="29" t="inlineStr">
        <is>
          <t>SYSTEM</t>
        </is>
      </c>
      <c r="D45" s="29" t="inlineStr">
        <is>
          <t>Monitoring</t>
        </is>
      </c>
      <c r="E45" s="29" t="inlineStr">
        <is>
          <t>[System 3]: Assess 1 mandatory requirement(s)</t>
        </is>
      </c>
      <c r="F45" s="29" t="inlineStr"/>
      <c r="G45" s="29" t="inlineStr"/>
      <c r="H45" s="29" t="inlineStr"/>
      <c r="I45" s="29" t="inlineStr"/>
      <c r="J45" s="29" t="inlineStr"/>
      <c r="K45" s="29" t="inlineStr"/>
      <c r="L45" s="29" t="inlineStr"/>
      <c r="M45" s="26" t="inlineStr"/>
      <c r="N45" s="26" t="inlineStr"/>
    </row>
    <row r="46">
      <c r="A46" s="28" t="inlineStr">
        <is>
          <t>13.2.2.1</t>
        </is>
      </c>
      <c r="B46" s="28" t="inlineStr">
        <is>
          <t>NACSA-13.2.2a-NCII-SYS-003</t>
        </is>
      </c>
      <c r="C46" s="28" t="inlineStr"/>
      <c r="D46" s="28" t="inlineStr"/>
      <c r="E46" s="28" t="inlineStr">
        <is>
          <t>[System 3]: Continuous monitoring of the NCII entity's premises shall be implemented to prevent unauthorised phy...</t>
        </is>
      </c>
      <c r="F46"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13.2.2.1.</t>
        </is>
      </c>
      <c r="G46" s="28" t="inlineStr">
        <is>
          <t>Approved policy/procedure document; Committee approval record; Version history</t>
        </is>
      </c>
      <c r="H46" s="28" t="inlineStr">
        <is>
          <t>Inspection</t>
        </is>
      </c>
      <c r="I46" s="28" t="inlineStr"/>
      <c r="J46" s="28" t="inlineStr"/>
      <c r="K46" s="28" t="inlineStr"/>
      <c r="L46" s="28" t="inlineStr"/>
      <c r="M46" s="28" t="inlineStr"/>
      <c r="N46" s="28" t="inlineStr"/>
    </row>
    <row r="47">
      <c r="A47" s="29" t="inlineStr">
        <is>
          <t>13.2.3</t>
        </is>
      </c>
      <c r="B47" s="29" t="inlineStr">
        <is>
          <t>NACSA-13.2.3-NCII-SYS-001</t>
        </is>
      </c>
      <c r="C47" s="29" t="inlineStr">
        <is>
          <t>SYSTEM</t>
        </is>
      </c>
      <c r="D47" s="29" t="inlineStr">
        <is>
          <t>Protection against Threats</t>
        </is>
      </c>
      <c r="E47" s="29" t="inlineStr">
        <is>
          <t>[System 1]: Assess 2 mandatory requirement(s)</t>
        </is>
      </c>
      <c r="F47" s="29" t="inlineStr"/>
      <c r="G47" s="29" t="inlineStr"/>
      <c r="H47" s="29" t="inlineStr"/>
      <c r="I47" s="29" t="inlineStr"/>
      <c r="J47" s="29" t="inlineStr"/>
      <c r="K47" s="29" t="inlineStr"/>
      <c r="L47" s="29" t="inlineStr"/>
      <c r="M47" s="26" t="inlineStr"/>
      <c r="N47" s="26" t="inlineStr"/>
    </row>
    <row r="48">
      <c r="A48" s="7" t="inlineStr">
        <is>
          <t>13.2.3.1</t>
        </is>
      </c>
      <c r="B48" s="7" t="inlineStr">
        <is>
          <t>NACSA-13.2.3a-NCII-SYS-001</t>
        </is>
      </c>
      <c r="C48" s="7" t="inlineStr"/>
      <c r="D48" s="7" t="inlineStr"/>
      <c r="E48" s="7" t="inlineStr">
        <is>
          <t>[System 1]: The NCII entity shall design and implement measures to protect against physical and environmental th...</t>
        </is>
      </c>
      <c r="F48" s="7" t="inlineStr">
        <is>
          <t>1. Request training plan and records for the assessment period.
2. Verify training content covers required topics per CoP clause.
3. Check completion rates (target: 100% for mandatory training).
4. Review effectiveness evaluation results (post-training assessments).</t>
        </is>
      </c>
      <c r="G48" s="7" t="inlineStr">
        <is>
          <t>Training plan; Completion records/LMS reports; Assessment results; Training materials</t>
        </is>
      </c>
      <c r="H48" s="7" t="inlineStr">
        <is>
          <t>Inspection / Inquiry</t>
        </is>
      </c>
      <c r="I48" s="7" t="inlineStr"/>
      <c r="J48" s="7" t="inlineStr"/>
      <c r="K48" s="7" t="inlineStr"/>
      <c r="L48" s="7" t="inlineStr"/>
      <c r="M48" s="7" t="inlineStr"/>
      <c r="N48" s="7" t="inlineStr"/>
    </row>
    <row r="49">
      <c r="A49" s="28" t="inlineStr">
        <is>
          <t>13.2.3.2</t>
        </is>
      </c>
      <c r="B49" s="28" t="inlineStr">
        <is>
          <t>NACSA-13.2.3b-NCII-SYS-001</t>
        </is>
      </c>
      <c r="C49" s="28" t="inlineStr"/>
      <c r="D49" s="28" t="inlineStr"/>
      <c r="E49" s="28" t="inlineStr">
        <is>
          <t>[System 1]: A risk assessment shall be conducted regularly to identify potential threats and implement correspon...</t>
        </is>
      </c>
      <c r="F49" s="28" t="inlineStr">
        <is>
          <t>1. Request the most recent audit/assessment report.
2. Verify it was conducted by an approved/qualified party.
3. Confirm submission to CE NACSA within required timeframe.
4. Check that findings are tracked with remediation plans.</t>
        </is>
      </c>
      <c r="G49" s="28" t="inlineStr">
        <is>
          <t>Audit/assessment report; Assessor qualifications/approval; CE submission confirmation; Remediation tracker</t>
        </is>
      </c>
      <c r="H49" s="28" t="inlineStr">
        <is>
          <t>Inspection</t>
        </is>
      </c>
      <c r="I49" s="28" t="inlineStr"/>
      <c r="J49" s="28" t="inlineStr"/>
      <c r="K49" s="28" t="inlineStr"/>
      <c r="L49" s="28" t="inlineStr"/>
      <c r="M49" s="28" t="inlineStr"/>
      <c r="N49" s="28" t="inlineStr"/>
    </row>
    <row r="50">
      <c r="A50" s="29" t="inlineStr">
        <is>
          <t>13.2.3</t>
        </is>
      </c>
      <c r="B50" s="29" t="inlineStr">
        <is>
          <t>NACSA-13.2.3-NCII-SYS-002</t>
        </is>
      </c>
      <c r="C50" s="29" t="inlineStr">
        <is>
          <t>SYSTEM</t>
        </is>
      </c>
      <c r="D50" s="29" t="inlineStr">
        <is>
          <t>Protection against Threats</t>
        </is>
      </c>
      <c r="E50" s="29" t="inlineStr">
        <is>
          <t>[System 2]: Assess 2 mandatory requirement(s)</t>
        </is>
      </c>
      <c r="F50" s="29" t="inlineStr"/>
      <c r="G50" s="29" t="inlineStr"/>
      <c r="H50" s="29" t="inlineStr"/>
      <c r="I50" s="29" t="inlineStr"/>
      <c r="J50" s="29" t="inlineStr"/>
      <c r="K50" s="29" t="inlineStr"/>
      <c r="L50" s="29" t="inlineStr"/>
      <c r="M50" s="26" t="inlineStr"/>
      <c r="N50" s="26" t="inlineStr"/>
    </row>
    <row r="51">
      <c r="A51" s="7" t="inlineStr">
        <is>
          <t>13.2.3.1</t>
        </is>
      </c>
      <c r="B51" s="7" t="inlineStr">
        <is>
          <t>NACSA-13.2.3a-NCII-SYS-002</t>
        </is>
      </c>
      <c r="C51" s="7" t="inlineStr"/>
      <c r="D51" s="7" t="inlineStr"/>
      <c r="E51" s="7" t="inlineStr">
        <is>
          <t>[System 2]: The NCII entity shall design and implement measures to protect against physical and environmental th...</t>
        </is>
      </c>
      <c r="F51" s="7" t="inlineStr">
        <is>
          <t>1. Request training plan and records for the assessment period.
2. Verify training content covers required topics per CoP clause.
3. Check completion rates (target: 100% for mandatory training).
4. Review effectiveness evaluation results (post-training assessments).</t>
        </is>
      </c>
      <c r="G51" s="7" t="inlineStr">
        <is>
          <t>Training plan; Completion records/LMS reports; Assessment results; Training materials</t>
        </is>
      </c>
      <c r="H51" s="7" t="inlineStr">
        <is>
          <t>Inspection / Inquiry</t>
        </is>
      </c>
      <c r="I51" s="7" t="inlineStr"/>
      <c r="J51" s="7" t="inlineStr"/>
      <c r="K51" s="7" t="inlineStr"/>
      <c r="L51" s="7" t="inlineStr"/>
      <c r="M51" s="7" t="inlineStr"/>
      <c r="N51" s="7" t="inlineStr"/>
    </row>
    <row r="52">
      <c r="A52" s="28" t="inlineStr">
        <is>
          <t>13.2.3.2</t>
        </is>
      </c>
      <c r="B52" s="28" t="inlineStr">
        <is>
          <t>NACSA-13.2.3b-NCII-SYS-002</t>
        </is>
      </c>
      <c r="C52" s="28" t="inlineStr"/>
      <c r="D52" s="28" t="inlineStr"/>
      <c r="E52" s="28" t="inlineStr">
        <is>
          <t>[System 2]: A risk assessment shall be conducted regularly to identify potential threats and implement correspon...</t>
        </is>
      </c>
      <c r="F52" s="28" t="inlineStr">
        <is>
          <t>1. Request the most recent audit/assessment report.
2. Verify it was conducted by an approved/qualified party.
3. Confirm submission to CE NACSA within required timeframe.
4. Check that findings are tracked with remediation plans.</t>
        </is>
      </c>
      <c r="G52" s="28" t="inlineStr">
        <is>
          <t>Audit/assessment report; Assessor qualifications/approval; CE submission confirmation; Remediation tracker</t>
        </is>
      </c>
      <c r="H52" s="28" t="inlineStr">
        <is>
          <t>Inspection</t>
        </is>
      </c>
      <c r="I52" s="28" t="inlineStr"/>
      <c r="J52" s="28" t="inlineStr"/>
      <c r="K52" s="28" t="inlineStr"/>
      <c r="L52" s="28" t="inlineStr"/>
      <c r="M52" s="28" t="inlineStr"/>
      <c r="N52" s="28" t="inlineStr"/>
    </row>
    <row r="53">
      <c r="A53" s="29" t="inlineStr">
        <is>
          <t>13.2.3</t>
        </is>
      </c>
      <c r="B53" s="29" t="inlineStr">
        <is>
          <t>NACSA-13.2.3-NCII-SYS-003</t>
        </is>
      </c>
      <c r="C53" s="29" t="inlineStr">
        <is>
          <t>SYSTEM</t>
        </is>
      </c>
      <c r="D53" s="29" t="inlineStr">
        <is>
          <t>Protection against Threats</t>
        </is>
      </c>
      <c r="E53" s="29" t="inlineStr">
        <is>
          <t>[System 3]: Assess 2 mandatory requirement(s)</t>
        </is>
      </c>
      <c r="F53" s="29" t="inlineStr"/>
      <c r="G53" s="29" t="inlineStr"/>
      <c r="H53" s="29" t="inlineStr"/>
      <c r="I53" s="29" t="inlineStr"/>
      <c r="J53" s="29" t="inlineStr"/>
      <c r="K53" s="29" t="inlineStr"/>
      <c r="L53" s="29" t="inlineStr"/>
      <c r="M53" s="26" t="inlineStr"/>
      <c r="N53" s="26" t="inlineStr"/>
    </row>
    <row r="54">
      <c r="A54" s="7" t="inlineStr">
        <is>
          <t>13.2.3.1</t>
        </is>
      </c>
      <c r="B54" s="7" t="inlineStr">
        <is>
          <t>NACSA-13.2.3a-NCII-SYS-003</t>
        </is>
      </c>
      <c r="C54" s="7" t="inlineStr"/>
      <c r="D54" s="7" t="inlineStr"/>
      <c r="E54" s="7" t="inlineStr">
        <is>
          <t>[System 3]: The NCII entity shall design and implement measures to protect against physical and environmental th...</t>
        </is>
      </c>
      <c r="F54" s="7" t="inlineStr">
        <is>
          <t>1. Request training plan and records for the assessment period.
2. Verify training content covers required topics per CoP clause.
3. Check completion rates (target: 100% for mandatory training).
4. Review effectiveness evaluation results (post-training assessments).</t>
        </is>
      </c>
      <c r="G54" s="7" t="inlineStr">
        <is>
          <t>Training plan; Completion records/LMS reports; Assessment results; Training materials</t>
        </is>
      </c>
      <c r="H54" s="7" t="inlineStr">
        <is>
          <t>Inspection / Inquiry</t>
        </is>
      </c>
      <c r="I54" s="7" t="inlineStr"/>
      <c r="J54" s="7" t="inlineStr"/>
      <c r="K54" s="7" t="inlineStr"/>
      <c r="L54" s="7" t="inlineStr"/>
      <c r="M54" s="7" t="inlineStr"/>
      <c r="N54" s="7" t="inlineStr"/>
    </row>
    <row r="55">
      <c r="A55" s="28" t="inlineStr">
        <is>
          <t>13.2.3.2</t>
        </is>
      </c>
      <c r="B55" s="28" t="inlineStr">
        <is>
          <t>NACSA-13.2.3b-NCII-SYS-003</t>
        </is>
      </c>
      <c r="C55" s="28" t="inlineStr"/>
      <c r="D55" s="28" t="inlineStr"/>
      <c r="E55" s="28" t="inlineStr">
        <is>
          <t>[System 3]: A risk assessment shall be conducted regularly to identify potential threats and implement correspon...</t>
        </is>
      </c>
      <c r="F55" s="28" t="inlineStr">
        <is>
          <t>1. Request the most recent audit/assessment report.
2. Verify it was conducted by an approved/qualified party.
3. Confirm submission to CE NACSA within required timeframe.
4. Check that findings are tracked with remediation plans.</t>
        </is>
      </c>
      <c r="G55" s="28" t="inlineStr">
        <is>
          <t>Audit/assessment report; Assessor qualifications/approval; CE submission confirmation; Remediation tracker</t>
        </is>
      </c>
      <c r="H55" s="28" t="inlineStr">
        <is>
          <t>Inspection</t>
        </is>
      </c>
      <c r="I55" s="28" t="inlineStr"/>
      <c r="J55" s="28" t="inlineStr"/>
      <c r="K55" s="28" t="inlineStr"/>
      <c r="L55" s="28" t="inlineStr"/>
      <c r="M55" s="28" t="inlineStr"/>
      <c r="N55" s="28" t="inlineStr"/>
    </row>
  </sheetData>
  <mergeCells count="3">
    <mergeCell ref="A16:N16"/>
    <mergeCell ref="A3:N3"/>
    <mergeCell ref="A2:N2"/>
  </mergeCells>
  <conditionalFormatting sqref="M4:M56">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55"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91"/>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14.0 — System and Network Security (Organisation-Level)</t>
        </is>
      </c>
      <c r="B2" s="38" t="n"/>
      <c r="C2" s="38" t="n"/>
      <c r="D2" s="38" t="n"/>
      <c r="E2" s="38" t="n"/>
      <c r="F2" s="38" t="n"/>
      <c r="G2" s="38" t="n"/>
      <c r="H2" s="38" t="n"/>
      <c r="I2" s="38" t="n"/>
      <c r="J2" s="38" t="n"/>
      <c r="K2" s="38" t="n"/>
      <c r="L2" s="38" t="n"/>
      <c r="M2" s="38" t="n"/>
      <c r="N2" s="39" t="n"/>
    </row>
    <row r="3" ht="60" customHeight="1">
      <c r="A3" s="23" t="inlineStr">
        <is>
          <t>WHY: Network and system security controls are the technical backbone of NCII protection. Firewalls, IDS/IPS, NAC, and malware prevention defend against external and internal threats.
WHAT GOOD LOOKS LIKE: Documented network security policy with logical/physical diagrams, firewall rules following least-privilege, IDS/IPS at critical boundaries, NAC enforcing device compliance, malware prevention integrated with SIEM.
KEY RISK IF ABSENT: Network compromise providing access to NCII systems, undetected lateral movement, malware propagation across segments.</t>
        </is>
      </c>
      <c r="B3" s="38" t="n"/>
      <c r="C3" s="38" t="n"/>
      <c r="D3" s="38" t="n"/>
      <c r="E3" s="38" t="n"/>
      <c r="F3" s="38" t="n"/>
      <c r="G3" s="38" t="n"/>
      <c r="H3" s="38" t="n"/>
      <c r="I3" s="38" t="n"/>
      <c r="J3" s="38" t="n"/>
      <c r="K3" s="38" t="n"/>
      <c r="L3" s="38" t="n"/>
      <c r="M3" s="38" t="n"/>
      <c r="N3" s="39" t="n"/>
    </row>
    <row r="4">
      <c r="A4" s="25" t="inlineStr">
        <is>
          <t>14.1.1</t>
        </is>
      </c>
      <c r="B4" s="25" t="inlineStr">
        <is>
          <t>NACSA-14.1.1</t>
        </is>
      </c>
      <c r="C4" s="25" t="inlineStr">
        <is>
          <t>ORG</t>
        </is>
      </c>
      <c r="D4" s="25" t="inlineStr">
        <is>
          <t>Establishment of Network Security Policy and Procedure</t>
        </is>
      </c>
      <c r="E4" s="25" t="inlineStr">
        <is>
          <t>Assess 3 mandatory requirement(s)</t>
        </is>
      </c>
      <c r="F4" s="25" t="inlineStr"/>
      <c r="G4" s="25" t="inlineStr"/>
      <c r="H4" s="25" t="inlineStr"/>
      <c r="I4" s="25" t="inlineStr"/>
      <c r="J4" s="25" t="inlineStr"/>
      <c r="K4" s="25" t="inlineStr"/>
      <c r="L4" s="25" t="inlineStr"/>
      <c r="M4" s="26" t="inlineStr"/>
      <c r="N4" s="26" t="inlineStr"/>
    </row>
    <row r="5">
      <c r="A5" s="7" t="inlineStr">
        <is>
          <t>14.1.1.1</t>
        </is>
      </c>
      <c r="B5" s="7" t="inlineStr">
        <is>
          <t>NACSA-14.1.1a</t>
        </is>
      </c>
      <c r="C5" s="7" t="inlineStr"/>
      <c r="D5" s="7" t="inlineStr"/>
      <c r="E5" s="7" t="inlineStr">
        <is>
          <t>The NCII entity shall develop and document a comprehensive network security policy and procedure to protect network infr...</t>
        </is>
      </c>
      <c r="F5"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14.1.1.1.</t>
        </is>
      </c>
      <c r="G5" s="7" t="inlineStr">
        <is>
          <t>Approved policy/procedure document; Committee approval record; Version history</t>
        </is>
      </c>
      <c r="H5" s="7" t="inlineStr">
        <is>
          <t>Inspection</t>
        </is>
      </c>
      <c r="I5" s="7" t="inlineStr"/>
      <c r="J5" s="7" t="inlineStr"/>
      <c r="K5" s="7" t="inlineStr"/>
      <c r="L5" s="7" t="inlineStr"/>
      <c r="M5" s="7" t="inlineStr"/>
      <c r="N5" s="7" t="inlineStr"/>
    </row>
    <row r="6">
      <c r="A6" s="28" t="inlineStr">
        <is>
          <t>14.1.1.2</t>
        </is>
      </c>
      <c r="B6" s="28" t="inlineStr">
        <is>
          <t>NACSA-14.1.1b</t>
        </is>
      </c>
      <c r="C6" s="28" t="inlineStr"/>
      <c r="D6" s="28" t="inlineStr"/>
      <c r="E6" s="28" t="inlineStr">
        <is>
          <t>The policy and procedure shall address enforcement of access controls based on authentication and least privilege princi...</t>
        </is>
      </c>
      <c r="F6" s="28" t="inlineStr">
        <is>
          <t>1. Request the IAM policy/procedure covering all account types.
2. Sample 5 recently departed staff — verify access revoked within policy SLA.
3. Review the latest quarterly access review records.
4. Sample 10 provisioning records — verify formal approval and business justification.</t>
        </is>
      </c>
      <c r="G6" s="28" t="inlineStr">
        <is>
          <t>Approved policy/procedure document; Committee approval record; Version history</t>
        </is>
      </c>
      <c r="H6" s="28" t="inlineStr">
        <is>
          <t>Inspection</t>
        </is>
      </c>
      <c r="I6" s="28" t="inlineStr"/>
      <c r="J6" s="28" t="inlineStr"/>
      <c r="K6" s="28" t="inlineStr"/>
      <c r="L6" s="28" t="inlineStr"/>
      <c r="M6" s="28" t="inlineStr"/>
      <c r="N6" s="28" t="inlineStr"/>
    </row>
    <row r="7">
      <c r="A7" s="7" t="inlineStr">
        <is>
          <t>14.1.1.3</t>
        </is>
      </c>
      <c r="B7" s="7" t="inlineStr">
        <is>
          <t>NACSA-14.1.1c</t>
        </is>
      </c>
      <c r="C7" s="7" t="inlineStr"/>
      <c r="D7" s="7" t="inlineStr"/>
      <c r="E7" s="7" t="inlineStr">
        <is>
          <t>Key stakeholders, including IT teams and security personnel, shall be involved in the drafting process.</t>
        </is>
      </c>
      <c r="F7" s="7" t="inlineStr">
        <is>
          <t>1. Request evidence of communication to stakeholders — emails, portal announcements, signed acknowledgements.
2. Sample 10 acknowledgement records to verify staff received and understood the communication.
3. Verify communication covers all relevant parties including contractors and third parties with NCII access.
4. Check the communication is current (not an outdated version).</t>
        </is>
      </c>
      <c r="G7" s="7" t="inlineStr">
        <is>
          <t>Relevant policy/procedure; Implementation evidence; Review/monitoring records</t>
        </is>
      </c>
      <c r="H7" s="7" t="inlineStr">
        <is>
          <t>Inspection</t>
        </is>
      </c>
      <c r="I7" s="7" t="inlineStr"/>
      <c r="J7" s="7" t="inlineStr"/>
      <c r="K7" s="7" t="inlineStr"/>
      <c r="L7" s="7" t="inlineStr"/>
      <c r="M7" s="7" t="inlineStr"/>
      <c r="N7" s="7" t="inlineStr"/>
    </row>
    <row r="8">
      <c r="A8" s="25" t="inlineStr">
        <is>
          <t>14.1.2</t>
        </is>
      </c>
      <c r="B8" s="25" t="inlineStr">
        <is>
          <t>NACSA-14.1.2</t>
        </is>
      </c>
      <c r="C8" s="25" t="inlineStr">
        <is>
          <t>ORG</t>
        </is>
      </c>
      <c r="D8" s="25" t="inlineStr">
        <is>
          <t>Review and Approval</t>
        </is>
      </c>
      <c r="E8" s="25" t="inlineStr">
        <is>
          <t>Assess 1 mandatory requirement(s)</t>
        </is>
      </c>
      <c r="F8" s="25" t="inlineStr"/>
      <c r="G8" s="25" t="inlineStr"/>
      <c r="H8" s="25" t="inlineStr"/>
      <c r="I8" s="25" t="inlineStr"/>
      <c r="J8" s="25" t="inlineStr"/>
      <c r="K8" s="25" t="inlineStr"/>
      <c r="L8" s="25" t="inlineStr"/>
      <c r="M8" s="26" t="inlineStr"/>
      <c r="N8" s="26" t="inlineStr"/>
    </row>
    <row r="9">
      <c r="A9" s="28" t="inlineStr">
        <is>
          <t>14.1.2.1</t>
        </is>
      </c>
      <c r="B9" s="28" t="inlineStr">
        <is>
          <t>NACSA-14.1.2a</t>
        </is>
      </c>
      <c r="C9" s="28" t="inlineStr"/>
      <c r="D9" s="28" t="inlineStr"/>
      <c r="E9" s="28" t="inlineStr">
        <is>
          <t>The network security policy and procedure shall be reviewed and approved by the relevant cyber security governance commi...</t>
        </is>
      </c>
      <c r="F9" s="28" t="inlineStr">
        <is>
          <t>1. Request evidence of the last review — meeting minutes, review report, or updated document with review date.
2. Verify review was conducted within the required period (annually or as specified).
3. Check that review outcomes are documented with any changes approved.
4. Confirm the review addressed current threats, regulatory changes, and lessons learned.</t>
        </is>
      </c>
      <c r="G9" s="28" t="inlineStr">
        <is>
          <t>Approved policy/procedure document; Committee approval record; Version history</t>
        </is>
      </c>
      <c r="H9" s="28" t="inlineStr">
        <is>
          <t>Inspection</t>
        </is>
      </c>
      <c r="I9" s="28" t="inlineStr"/>
      <c r="J9" s="28" t="inlineStr"/>
      <c r="K9" s="28" t="inlineStr"/>
      <c r="L9" s="28" t="inlineStr"/>
      <c r="M9" s="28" t="inlineStr"/>
      <c r="N9" s="28" t="inlineStr"/>
    </row>
    <row r="10">
      <c r="A10" s="25" t="inlineStr">
        <is>
          <t>14.1.3</t>
        </is>
      </c>
      <c r="B10" s="25" t="inlineStr">
        <is>
          <t>NACSA-14.1.3</t>
        </is>
      </c>
      <c r="C10" s="25" t="inlineStr">
        <is>
          <t>ORG</t>
        </is>
      </c>
      <c r="D10" s="25" t="inlineStr">
        <is>
          <t>Alignment with Industry Best Practices</t>
        </is>
      </c>
      <c r="E10" s="25" t="inlineStr">
        <is>
          <t>Assess 1 mandatory requirement(s)</t>
        </is>
      </c>
      <c r="F10" s="25" t="inlineStr"/>
      <c r="G10" s="25" t="inlineStr"/>
      <c r="H10" s="25" t="inlineStr"/>
      <c r="I10" s="25" t="inlineStr"/>
      <c r="J10" s="25" t="inlineStr"/>
      <c r="K10" s="25" t="inlineStr"/>
      <c r="L10" s="25" t="inlineStr"/>
      <c r="M10" s="26" t="inlineStr"/>
      <c r="N10" s="26" t="inlineStr"/>
    </row>
    <row r="11">
      <c r="A11" s="7" t="inlineStr">
        <is>
          <t>14.1.3.1</t>
        </is>
      </c>
      <c r="B11" s="7" t="inlineStr">
        <is>
          <t>NACSA-14.1.3a</t>
        </is>
      </c>
      <c r="C11" s="7" t="inlineStr"/>
      <c r="D11" s="7" t="inlineStr"/>
      <c r="E11" s="7" t="inlineStr">
        <is>
          <t>The network security policy and procedure shall adhere to industry standards and best practices such as:
- ISO 27001: In...</t>
        </is>
      </c>
      <c r="F11" s="7" t="inlineStr">
        <is>
          <t>1. Request NDA templates for all relationship types (employee, contractor, vendor).
2. Verify NDAs include all 4 required elements: definition, obligations, permitted use, consequences.
3. Check for explicit reference to NCII designation and s49 secrecy.
4. Sample 10 signed NDAs — verify coverage across employees, contractors, and vendors.</t>
        </is>
      </c>
      <c r="G11" s="7" t="inlineStr">
        <is>
          <t>Approved policy/procedure document; Committee approval record; Version history</t>
        </is>
      </c>
      <c r="H11" s="7" t="inlineStr">
        <is>
          <t>Inspection</t>
        </is>
      </c>
      <c r="I11" s="7" t="inlineStr"/>
      <c r="J11" s="7" t="inlineStr"/>
      <c r="K11" s="7" t="inlineStr"/>
      <c r="L11" s="7" t="inlineStr"/>
      <c r="M11" s="7" t="inlineStr"/>
      <c r="N11" s="7" t="inlineStr"/>
    </row>
    <row r="12">
      <c r="A12" s="25" t="inlineStr">
        <is>
          <t>14.1.5</t>
        </is>
      </c>
      <c r="B12" s="25" t="inlineStr">
        <is>
          <t>NACSA-14.1.5</t>
        </is>
      </c>
      <c r="C12" s="25" t="inlineStr">
        <is>
          <t>ORG</t>
        </is>
      </c>
      <c r="D12" s="25" t="inlineStr">
        <is>
          <t>Review of Network Security Policy and Procedure</t>
        </is>
      </c>
      <c r="E12" s="25" t="inlineStr">
        <is>
          <t>Assess 1 mandatory requirement(s)</t>
        </is>
      </c>
      <c r="F12" s="25" t="inlineStr"/>
      <c r="G12" s="25" t="inlineStr"/>
      <c r="H12" s="25" t="inlineStr"/>
      <c r="I12" s="25" t="inlineStr"/>
      <c r="J12" s="25" t="inlineStr"/>
      <c r="K12" s="25" t="inlineStr"/>
      <c r="L12" s="25" t="inlineStr"/>
      <c r="M12" s="26" t="inlineStr"/>
      <c r="N12" s="26" t="inlineStr"/>
    </row>
    <row r="13">
      <c r="A13" s="28" t="inlineStr">
        <is>
          <t>14.1.5.1</t>
        </is>
      </c>
      <c r="B13" s="28" t="inlineStr">
        <is>
          <t>NACSA-14.1.5a</t>
        </is>
      </c>
      <c r="C13" s="28" t="inlineStr"/>
      <c r="D13" s="28" t="inlineStr"/>
      <c r="E13" s="28" t="inlineStr">
        <is>
          <t>The network security policy and procedure shall be reviewed annually as part of the NCII entity's security assessments, ...</t>
        </is>
      </c>
      <c r="F13" s="28" t="inlineStr">
        <is>
          <t>1. Request evidence of the last review — meeting minutes, review report, or updated document with review date.
2. Verify review was conducted within the required period (annually or as specified).
3. Check that review outcomes are documented with any changes approved.
4. Confirm the review addressed current threats, regulatory changes, and lessons learned.</t>
        </is>
      </c>
      <c r="G13" s="28" t="inlineStr">
        <is>
          <t>Approved policy/procedure document; Committee approval record; Version history</t>
        </is>
      </c>
      <c r="H13" s="28" t="inlineStr">
        <is>
          <t>Inspection</t>
        </is>
      </c>
      <c r="I13" s="28" t="inlineStr"/>
      <c r="J13" s="28" t="inlineStr"/>
      <c r="K13" s="28" t="inlineStr"/>
      <c r="L13" s="28" t="inlineStr"/>
      <c r="M13" s="28" t="inlineStr"/>
      <c r="N13" s="28" t="inlineStr"/>
    </row>
    <row r="14">
      <c r="A14" s="25" t="inlineStr">
        <is>
          <t>14.2.1</t>
        </is>
      </c>
      <c r="B14" s="25" t="inlineStr">
        <is>
          <t>NACSA-14.2.1</t>
        </is>
      </c>
      <c r="C14" s="25" t="inlineStr">
        <is>
          <t>ORG</t>
        </is>
      </c>
      <c r="D14" s="25" t="inlineStr">
        <is>
          <t>Establishment of Physical and Logical Network Diagrams</t>
        </is>
      </c>
      <c r="E14" s="25" t="inlineStr">
        <is>
          <t>Assess 2 mandatory requirement(s)</t>
        </is>
      </c>
      <c r="F14" s="25" t="inlineStr"/>
      <c r="G14" s="25" t="inlineStr"/>
      <c r="H14" s="25" t="inlineStr"/>
      <c r="I14" s="25" t="inlineStr"/>
      <c r="J14" s="25" t="inlineStr"/>
      <c r="K14" s="25" t="inlineStr"/>
      <c r="L14" s="25" t="inlineStr"/>
      <c r="M14" s="26" t="inlineStr"/>
      <c r="N14" s="26" t="inlineStr"/>
    </row>
    <row r="15">
      <c r="A15" s="7" t="inlineStr">
        <is>
          <t>14.2.1.1</t>
        </is>
      </c>
      <c r="B15" s="7" t="inlineStr">
        <is>
          <t>NACSA-14.2.1a</t>
        </is>
      </c>
      <c r="C15" s="7" t="inlineStr"/>
      <c r="D15" s="7" t="inlineStr"/>
      <c r="E15" s="7" t="inlineStr">
        <is>
          <t>The NCII entity shall define and maintain physical and logical network diagrams that include:
- Physical diagrams: Repre...</t>
        </is>
      </c>
      <c r="F15" s="7" t="inlineStr">
        <is>
          <t>1. Request the monitoring procedure/SMP.
2. Verify monitoring tools deployed (SIEM, IDPS, EDR).
3. Check log source coverage includes all NCII systems.
4. Review MTTD/MTTR KPI performance for the assessment period.</t>
        </is>
      </c>
      <c r="G15" s="7" t="inlineStr">
        <is>
          <t>Monitoring procedure; Tool deployment evidence; Log source inventory; KPI dashboard/reports</t>
        </is>
      </c>
      <c r="H15" s="7" t="inlineStr">
        <is>
          <t>Inspection</t>
        </is>
      </c>
      <c r="I15" s="7" t="inlineStr"/>
      <c r="J15" s="7" t="inlineStr"/>
      <c r="K15" s="7" t="inlineStr"/>
      <c r="L15" s="7" t="inlineStr"/>
      <c r="M15" s="7" t="inlineStr"/>
      <c r="N15" s="7" t="inlineStr"/>
    </row>
    <row r="16">
      <c r="A16" s="28" t="inlineStr">
        <is>
          <t>14.2.1.2</t>
        </is>
      </c>
      <c r="B16" s="28" t="inlineStr">
        <is>
          <t>NACSA-14.2.1b</t>
        </is>
      </c>
      <c r="C16" s="28" t="inlineStr"/>
      <c r="D16" s="28" t="inlineStr"/>
      <c r="E16" s="28" t="inlineStr">
        <is>
          <t>These diagrams shall provide a comprehensive understanding of the network architecture.</t>
        </is>
      </c>
      <c r="F16" s="28" t="inlineStr">
        <is>
          <t>1. Request physical and logical network diagrams.
2. Verify diagrams show NCII system locations, segmentation, DMZ, and security controls.
3. Spot-check 3 network segments against the diagram for accuracy.
4. Confirm diagrams are updated within 30 days of infrastructure changes.</t>
        </is>
      </c>
      <c r="G16" s="28" t="inlineStr">
        <is>
          <t>Relevant policy/procedure; Implementation evidence; Review/monitoring records</t>
        </is>
      </c>
      <c r="H16" s="28" t="inlineStr">
        <is>
          <t>Inspection</t>
        </is>
      </c>
      <c r="I16" s="28" t="inlineStr"/>
      <c r="J16" s="28" t="inlineStr"/>
      <c r="K16" s="28" t="inlineStr"/>
      <c r="L16" s="28" t="inlineStr"/>
      <c r="M16" s="28" t="inlineStr"/>
      <c r="N16" s="28" t="inlineStr"/>
    </row>
    <row r="17">
      <c r="A17" s="25" t="inlineStr">
        <is>
          <t>14.2.2</t>
        </is>
      </c>
      <c r="B17" s="25" t="inlineStr">
        <is>
          <t>NACSA-14.2.2</t>
        </is>
      </c>
      <c r="C17" s="25" t="inlineStr">
        <is>
          <t>ORG</t>
        </is>
      </c>
      <c r="D17" s="25" t="inlineStr">
        <is>
          <t>Alignment with Best Practices</t>
        </is>
      </c>
      <c r="E17" s="25" t="inlineStr">
        <is>
          <t>Assess 1 mandatory requirement(s)</t>
        </is>
      </c>
      <c r="F17" s="25" t="inlineStr"/>
      <c r="G17" s="25" t="inlineStr"/>
      <c r="H17" s="25" t="inlineStr"/>
      <c r="I17" s="25" t="inlineStr"/>
      <c r="J17" s="25" t="inlineStr"/>
      <c r="K17" s="25" t="inlineStr"/>
      <c r="L17" s="25" t="inlineStr"/>
      <c r="M17" s="26" t="inlineStr"/>
      <c r="N17" s="26" t="inlineStr"/>
    </row>
    <row r="18">
      <c r="A18" s="7" t="inlineStr">
        <is>
          <t>14.2.2.1</t>
        </is>
      </c>
      <c r="B18" s="7" t="inlineStr">
        <is>
          <t>NACSA-14.2.2a</t>
        </is>
      </c>
      <c r="C18" s="7" t="inlineStr"/>
      <c r="D18" s="7" t="inlineStr"/>
      <c r="E18" s="7" t="inlineStr">
        <is>
          <t>Network diagrams shall be aligned with industry standards and best practices such as NIST SP 800-115, to ensure clarity,...</t>
        </is>
      </c>
      <c r="F18" s="7" t="inlineStr">
        <is>
          <t>1. Request NDA templates and signed NDA samples.
2. Verify NDA templates cover required parties.
3. Sample 10 NDAs — confirm signed before information exchange.
4. Check NDA compliance monitoring records.</t>
        </is>
      </c>
      <c r="G18" s="7" t="inlineStr">
        <is>
          <t>NDA templates; Signed NDA samples; Compliance monitoring records</t>
        </is>
      </c>
      <c r="H18" s="7" t="inlineStr">
        <is>
          <t>Inspection</t>
        </is>
      </c>
      <c r="I18" s="7" t="inlineStr"/>
      <c r="J18" s="7" t="inlineStr"/>
      <c r="K18" s="7" t="inlineStr"/>
      <c r="L18" s="7" t="inlineStr"/>
      <c r="M18" s="7" t="inlineStr"/>
      <c r="N18" s="7" t="inlineStr"/>
    </row>
    <row r="19">
      <c r="A19" s="25" t="inlineStr">
        <is>
          <t>14.2.4</t>
        </is>
      </c>
      <c r="B19" s="25" t="inlineStr">
        <is>
          <t>NACSA-14.2.4</t>
        </is>
      </c>
      <c r="C19" s="25" t="inlineStr">
        <is>
          <t>ORG</t>
        </is>
      </c>
      <c r="D19" s="25" t="inlineStr">
        <is>
          <t>Review of Physical and Logical Network Diagrams</t>
        </is>
      </c>
      <c r="E19" s="25" t="inlineStr">
        <is>
          <t>Assess 1 mandatory requirement(s)</t>
        </is>
      </c>
      <c r="F19" s="25" t="inlineStr"/>
      <c r="G19" s="25" t="inlineStr"/>
      <c r="H19" s="25" t="inlineStr"/>
      <c r="I19" s="25" t="inlineStr"/>
      <c r="J19" s="25" t="inlineStr"/>
      <c r="K19" s="25" t="inlineStr"/>
      <c r="L19" s="25" t="inlineStr"/>
      <c r="M19" s="26" t="inlineStr"/>
      <c r="N19" s="26" t="inlineStr"/>
    </row>
    <row r="20">
      <c r="A20" s="28" t="inlineStr">
        <is>
          <t>14.2.4.1</t>
        </is>
      </c>
      <c r="B20" s="28" t="inlineStr">
        <is>
          <t>NACSA-14.2.4a</t>
        </is>
      </c>
      <c r="C20" s="28" t="inlineStr"/>
      <c r="D20" s="28" t="inlineStr"/>
      <c r="E20" s="28" t="inlineStr">
        <is>
          <t>Network diagrams shall undergo review and updates by the relevant cyber security governance committee, as authorised by ...</t>
        </is>
      </c>
      <c r="F20" s="28" t="inlineStr">
        <is>
          <t>1. Request change management procedure.
2. Sample 10 changes — verify full lifecycle (request, risk assessment, approval, test, implementation).
3. Check for emergency change records with retrospective approval.
4. Review annual change process review.</t>
        </is>
      </c>
      <c r="G20" s="28" t="inlineStr">
        <is>
          <t>Change management procedure; 10 sampled change records; Emergency change records; Process review records</t>
        </is>
      </c>
      <c r="H20" s="28" t="inlineStr">
        <is>
          <t>Inspection</t>
        </is>
      </c>
      <c r="I20" s="28" t="inlineStr"/>
      <c r="J20" s="28" t="inlineStr"/>
      <c r="K20" s="28" t="inlineStr"/>
      <c r="L20" s="28" t="inlineStr"/>
      <c r="M20" s="28" t="inlineStr"/>
      <c r="N20" s="28" t="inlineStr"/>
    </row>
    <row r="21"/>
    <row r="22">
      <c r="A22" s="21" t="inlineStr">
        <is>
          <t>CoP 14.0 — System and Network Security (System-Level: per NCII system)</t>
        </is>
      </c>
      <c r="B22" s="38" t="n"/>
      <c r="C22" s="38" t="n"/>
      <c r="D22" s="38" t="n"/>
      <c r="E22" s="38" t="n"/>
      <c r="F22" s="38" t="n"/>
      <c r="G22" s="38" t="n"/>
      <c r="H22" s="38" t="n"/>
      <c r="I22" s="38" t="n"/>
      <c r="J22" s="38" t="n"/>
      <c r="K22" s="38" t="n"/>
      <c r="L22" s="38" t="n"/>
      <c r="M22" s="38" t="n"/>
      <c r="N22" s="39" t="n"/>
    </row>
    <row r="23">
      <c r="A23" s="29" t="inlineStr">
        <is>
          <t>14.1.4</t>
        </is>
      </c>
      <c r="B23" s="29" t="inlineStr">
        <is>
          <t>NACSA-14.1.4-NCII-SYS-001</t>
        </is>
      </c>
      <c r="C23" s="29" t="inlineStr">
        <is>
          <t>SYSTEM</t>
        </is>
      </c>
      <c r="D23" s="29" t="inlineStr">
        <is>
          <t>Monitoring Compliance</t>
        </is>
      </c>
      <c r="E23" s="29" t="inlineStr">
        <is>
          <t>[System 1]: Assess 1 mandatory requirement(s)</t>
        </is>
      </c>
      <c r="F23" s="29" t="inlineStr"/>
      <c r="G23" s="29" t="inlineStr"/>
      <c r="H23" s="29" t="inlineStr"/>
      <c r="I23" s="29" t="inlineStr"/>
      <c r="J23" s="29" t="inlineStr"/>
      <c r="K23" s="29" t="inlineStr"/>
      <c r="L23" s="29" t="inlineStr"/>
      <c r="M23" s="26" t="inlineStr"/>
      <c r="N23" s="26" t="inlineStr"/>
    </row>
    <row r="24">
      <c r="A24" s="7" t="inlineStr">
        <is>
          <t>14.1.4.1</t>
        </is>
      </c>
      <c r="B24" s="7" t="inlineStr">
        <is>
          <t>NACSA-14.1.4a-NCII-SYS-001</t>
        </is>
      </c>
      <c r="C24" s="7" t="inlineStr"/>
      <c r="D24" s="7" t="inlineStr"/>
      <c r="E24" s="7" t="inlineStr">
        <is>
          <t>[System 1]: Compliance with the network security policy and procedure shall be monitored through:
- Regular inte...</t>
        </is>
      </c>
      <c r="F24" s="7" t="inlineStr">
        <is>
          <t>1. Request compliance monitoring reports for the last 12 months.
2. Verify monitoring covers all applicable requirements (not just a subset).
3. Check that non-compliance items are tracked with remediation owners and timelines.
4. Confirm results are reported to the governance committee.</t>
        </is>
      </c>
      <c r="G24" s="7" t="inlineStr">
        <is>
          <t>Approved policy/procedure document; Committee approval record; Version history</t>
        </is>
      </c>
      <c r="H24" s="7" t="inlineStr">
        <is>
          <t>Inspection</t>
        </is>
      </c>
      <c r="I24" s="7" t="inlineStr"/>
      <c r="J24" s="7" t="inlineStr"/>
      <c r="K24" s="7" t="inlineStr"/>
      <c r="L24" s="7" t="inlineStr"/>
      <c r="M24" s="7" t="inlineStr"/>
      <c r="N24" s="7" t="inlineStr"/>
    </row>
    <row r="25">
      <c r="A25" s="29" t="inlineStr">
        <is>
          <t>14.1.4</t>
        </is>
      </c>
      <c r="B25" s="29" t="inlineStr">
        <is>
          <t>NACSA-14.1.4-NCII-SYS-002</t>
        </is>
      </c>
      <c r="C25" s="29" t="inlineStr">
        <is>
          <t>SYSTEM</t>
        </is>
      </c>
      <c r="D25" s="29" t="inlineStr">
        <is>
          <t>Monitoring Compliance</t>
        </is>
      </c>
      <c r="E25" s="29" t="inlineStr">
        <is>
          <t>[System 2]: Assess 1 mandatory requirement(s)</t>
        </is>
      </c>
      <c r="F25" s="29" t="inlineStr"/>
      <c r="G25" s="29" t="inlineStr"/>
      <c r="H25" s="29" t="inlineStr"/>
      <c r="I25" s="29" t="inlineStr"/>
      <c r="J25" s="29" t="inlineStr"/>
      <c r="K25" s="29" t="inlineStr"/>
      <c r="L25" s="29" t="inlineStr"/>
      <c r="M25" s="26" t="inlineStr"/>
      <c r="N25" s="26" t="inlineStr"/>
    </row>
    <row r="26">
      <c r="A26" s="28" t="inlineStr">
        <is>
          <t>14.1.4.1</t>
        </is>
      </c>
      <c r="B26" s="28" t="inlineStr">
        <is>
          <t>NACSA-14.1.4a-NCII-SYS-002</t>
        </is>
      </c>
      <c r="C26" s="28" t="inlineStr"/>
      <c r="D26" s="28" t="inlineStr"/>
      <c r="E26" s="28" t="inlineStr">
        <is>
          <t>[System 2]: Compliance with the network security policy and procedure shall be monitored through:
- Regular inte...</t>
        </is>
      </c>
      <c r="F26" s="28" t="inlineStr">
        <is>
          <t>1. Request compliance monitoring reports for the last 12 months.
2. Verify monitoring covers all applicable requirements (not just a subset).
3. Check that non-compliance items are tracked with remediation owners and timelines.
4. Confirm results are reported to the governance committee.</t>
        </is>
      </c>
      <c r="G26" s="28" t="inlineStr">
        <is>
          <t>Approved policy/procedure document; Committee approval record; Version history</t>
        </is>
      </c>
      <c r="H26" s="28" t="inlineStr">
        <is>
          <t>Inspection</t>
        </is>
      </c>
      <c r="I26" s="28" t="inlineStr"/>
      <c r="J26" s="28" t="inlineStr"/>
      <c r="K26" s="28" t="inlineStr"/>
      <c r="L26" s="28" t="inlineStr"/>
      <c r="M26" s="28" t="inlineStr"/>
      <c r="N26" s="28" t="inlineStr"/>
    </row>
    <row r="27">
      <c r="A27" s="29" t="inlineStr">
        <is>
          <t>14.1.4</t>
        </is>
      </c>
      <c r="B27" s="29" t="inlineStr">
        <is>
          <t>NACSA-14.1.4-NCII-SYS-003</t>
        </is>
      </c>
      <c r="C27" s="29" t="inlineStr">
        <is>
          <t>SYSTEM</t>
        </is>
      </c>
      <c r="D27" s="29" t="inlineStr">
        <is>
          <t>Monitoring Compliance</t>
        </is>
      </c>
      <c r="E27" s="29" t="inlineStr">
        <is>
          <t>[System 3]: Assess 1 mandatory requirement(s)</t>
        </is>
      </c>
      <c r="F27" s="29" t="inlineStr"/>
      <c r="G27" s="29" t="inlineStr"/>
      <c r="H27" s="29" t="inlineStr"/>
      <c r="I27" s="29" t="inlineStr"/>
      <c r="J27" s="29" t="inlineStr"/>
      <c r="K27" s="29" t="inlineStr"/>
      <c r="L27" s="29" t="inlineStr"/>
      <c r="M27" s="26" t="inlineStr"/>
      <c r="N27" s="26" t="inlineStr"/>
    </row>
    <row r="28">
      <c r="A28" s="7" t="inlineStr">
        <is>
          <t>14.1.4.1</t>
        </is>
      </c>
      <c r="B28" s="7" t="inlineStr">
        <is>
          <t>NACSA-14.1.4a-NCII-SYS-003</t>
        </is>
      </c>
      <c r="C28" s="7" t="inlineStr"/>
      <c r="D28" s="7" t="inlineStr"/>
      <c r="E28" s="7" t="inlineStr">
        <is>
          <t>[System 3]: Compliance with the network security policy and procedure shall be monitored through:
- Regular inte...</t>
        </is>
      </c>
      <c r="F28" s="7" t="inlineStr">
        <is>
          <t>1. Request compliance monitoring reports for the last 12 months.
2. Verify monitoring covers all applicable requirements (not just a subset).
3. Check that non-compliance items are tracked with remediation owners and timelines.
4. Confirm results are reported to the governance committee.</t>
        </is>
      </c>
      <c r="G28" s="7" t="inlineStr">
        <is>
          <t>Approved policy/procedure document; Committee approval record; Version history</t>
        </is>
      </c>
      <c r="H28" s="7" t="inlineStr">
        <is>
          <t>Inspection</t>
        </is>
      </c>
      <c r="I28" s="7" t="inlineStr"/>
      <c r="J28" s="7" t="inlineStr"/>
      <c r="K28" s="7" t="inlineStr"/>
      <c r="L28" s="7" t="inlineStr"/>
      <c r="M28" s="7" t="inlineStr"/>
      <c r="N28" s="7" t="inlineStr"/>
    </row>
    <row r="29">
      <c r="A29" s="29" t="inlineStr">
        <is>
          <t>14.2.3</t>
        </is>
      </c>
      <c r="B29" s="29" t="inlineStr">
        <is>
          <t>NACSA-14.2.3-NCII-SYS-001</t>
        </is>
      </c>
      <c r="C29" s="29" t="inlineStr">
        <is>
          <t>SYSTEM</t>
        </is>
      </c>
      <c r="D29" s="29" t="inlineStr">
        <is>
          <t>Inclusion of Advanced Security Controls</t>
        </is>
      </c>
      <c r="E29" s="29" t="inlineStr">
        <is>
          <t>[System 1]: Assess 1 mandatory requirement(s)</t>
        </is>
      </c>
      <c r="F29" s="29" t="inlineStr"/>
      <c r="G29" s="29" t="inlineStr"/>
      <c r="H29" s="29" t="inlineStr"/>
      <c r="I29" s="29" t="inlineStr"/>
      <c r="J29" s="29" t="inlineStr"/>
      <c r="K29" s="29" t="inlineStr"/>
      <c r="L29" s="29" t="inlineStr"/>
      <c r="M29" s="26" t="inlineStr"/>
      <c r="N29" s="26" t="inlineStr"/>
    </row>
    <row r="30">
      <c r="A30" s="28" t="inlineStr">
        <is>
          <t>14.2.3.1</t>
        </is>
      </c>
      <c r="B30" s="28" t="inlineStr">
        <is>
          <t>NACSA-14.2.3a-NCII-SYS-001</t>
        </is>
      </c>
      <c r="C30" s="28" t="inlineStr"/>
      <c r="D30" s="28" t="inlineStr"/>
      <c r="E30" s="28" t="inlineStr">
        <is>
          <t>[System 1]: The diagrams shall include advanced security controls, such as:
- Next-generation firewalls (NGFW): ...</t>
        </is>
      </c>
      <c r="F30" s="28" t="inlineStr">
        <is>
          <t>1. Request configuration documentation for the control.
2. Verify deployment covers all NCII network segments.
3. Review rule base/configuration for least-privilege and best practice.
4. Check for regular review and update of configurations.</t>
        </is>
      </c>
      <c r="G30" s="28" t="inlineStr">
        <is>
          <t>Configuration documentation; Rule base export; Review records; Network diagram</t>
        </is>
      </c>
      <c r="H30" s="28" t="inlineStr">
        <is>
          <t>Inspection</t>
        </is>
      </c>
      <c r="I30" s="28" t="inlineStr"/>
      <c r="J30" s="28" t="inlineStr"/>
      <c r="K30" s="28" t="inlineStr"/>
      <c r="L30" s="28" t="inlineStr"/>
      <c r="M30" s="28" t="inlineStr"/>
      <c r="N30" s="28" t="inlineStr"/>
    </row>
    <row r="31">
      <c r="A31" s="29" t="inlineStr">
        <is>
          <t>14.2.3</t>
        </is>
      </c>
      <c r="B31" s="29" t="inlineStr">
        <is>
          <t>NACSA-14.2.3-NCII-SYS-002</t>
        </is>
      </c>
      <c r="C31" s="29" t="inlineStr">
        <is>
          <t>SYSTEM</t>
        </is>
      </c>
      <c r="D31" s="29" t="inlineStr">
        <is>
          <t>Inclusion of Advanced Security Controls</t>
        </is>
      </c>
      <c r="E31" s="29" t="inlineStr">
        <is>
          <t>[System 2]: Assess 1 mandatory requirement(s)</t>
        </is>
      </c>
      <c r="F31" s="29" t="inlineStr"/>
      <c r="G31" s="29" t="inlineStr"/>
      <c r="H31" s="29" t="inlineStr"/>
      <c r="I31" s="29" t="inlineStr"/>
      <c r="J31" s="29" t="inlineStr"/>
      <c r="K31" s="29" t="inlineStr"/>
      <c r="L31" s="29" t="inlineStr"/>
      <c r="M31" s="26" t="inlineStr"/>
      <c r="N31" s="26" t="inlineStr"/>
    </row>
    <row r="32">
      <c r="A32" s="7" t="inlineStr">
        <is>
          <t>14.2.3.1</t>
        </is>
      </c>
      <c r="B32" s="7" t="inlineStr">
        <is>
          <t>NACSA-14.2.3a-NCII-SYS-002</t>
        </is>
      </c>
      <c r="C32" s="7" t="inlineStr"/>
      <c r="D32" s="7" t="inlineStr"/>
      <c r="E32" s="7" t="inlineStr">
        <is>
          <t>[System 2]: The diagrams shall include advanced security controls, such as:
- Next-generation firewalls (NGFW): ...</t>
        </is>
      </c>
      <c r="F32" s="7" t="inlineStr">
        <is>
          <t>1. Request configuration documentation for the control.
2. Verify deployment covers all NCII network segments.
3. Review rule base/configuration for least-privilege and best practice.
4. Check for regular review and update of configurations.</t>
        </is>
      </c>
      <c r="G32" s="7" t="inlineStr">
        <is>
          <t>Configuration documentation; Rule base export; Review records; Network diagram</t>
        </is>
      </c>
      <c r="H32" s="7" t="inlineStr">
        <is>
          <t>Inspection</t>
        </is>
      </c>
      <c r="I32" s="7" t="inlineStr"/>
      <c r="J32" s="7" t="inlineStr"/>
      <c r="K32" s="7" t="inlineStr"/>
      <c r="L32" s="7" t="inlineStr"/>
      <c r="M32" s="7" t="inlineStr"/>
      <c r="N32" s="7" t="inlineStr"/>
    </row>
    <row r="33">
      <c r="A33" s="29" t="inlineStr">
        <is>
          <t>14.2.3</t>
        </is>
      </c>
      <c r="B33" s="29" t="inlineStr">
        <is>
          <t>NACSA-14.2.3-NCII-SYS-003</t>
        </is>
      </c>
      <c r="C33" s="29" t="inlineStr">
        <is>
          <t>SYSTEM</t>
        </is>
      </c>
      <c r="D33" s="29" t="inlineStr">
        <is>
          <t>Inclusion of Advanced Security Controls</t>
        </is>
      </c>
      <c r="E33" s="29" t="inlineStr">
        <is>
          <t>[System 3]: Assess 1 mandatory requirement(s)</t>
        </is>
      </c>
      <c r="F33" s="29" t="inlineStr"/>
      <c r="G33" s="29" t="inlineStr"/>
      <c r="H33" s="29" t="inlineStr"/>
      <c r="I33" s="29" t="inlineStr"/>
      <c r="J33" s="29" t="inlineStr"/>
      <c r="K33" s="29" t="inlineStr"/>
      <c r="L33" s="29" t="inlineStr"/>
      <c r="M33" s="26" t="inlineStr"/>
      <c r="N33" s="26" t="inlineStr"/>
    </row>
    <row r="34">
      <c r="A34" s="28" t="inlineStr">
        <is>
          <t>14.2.3.1</t>
        </is>
      </c>
      <c r="B34" s="28" t="inlineStr">
        <is>
          <t>NACSA-14.2.3a-NCII-SYS-003</t>
        </is>
      </c>
      <c r="C34" s="28" t="inlineStr"/>
      <c r="D34" s="28" t="inlineStr"/>
      <c r="E34" s="28" t="inlineStr">
        <is>
          <t>[System 3]: The diagrams shall include advanced security controls, such as:
- Next-generation firewalls (NGFW): ...</t>
        </is>
      </c>
      <c r="F34" s="28" t="inlineStr">
        <is>
          <t>1. Request configuration documentation for the control.
2. Verify deployment covers all NCII network segments.
3. Review rule base/configuration for least-privilege and best practice.
4. Check for regular review and update of configurations.</t>
        </is>
      </c>
      <c r="G34" s="28" t="inlineStr">
        <is>
          <t>Configuration documentation; Rule base export; Review records; Network diagram</t>
        </is>
      </c>
      <c r="H34" s="28" t="inlineStr">
        <is>
          <t>Inspection</t>
        </is>
      </c>
      <c r="I34" s="28" t="inlineStr"/>
      <c r="J34" s="28" t="inlineStr"/>
      <c r="K34" s="28" t="inlineStr"/>
      <c r="L34" s="28" t="inlineStr"/>
      <c r="M34" s="28" t="inlineStr"/>
      <c r="N34" s="28" t="inlineStr"/>
    </row>
    <row r="35">
      <c r="A35" s="29" t="inlineStr">
        <is>
          <t>14.3.1</t>
        </is>
      </c>
      <c r="B35" s="29" t="inlineStr">
        <is>
          <t>NACSA-14.3.1-NCII-SYS-001</t>
        </is>
      </c>
      <c r="C35" s="29" t="inlineStr">
        <is>
          <t>SYSTEM</t>
        </is>
      </c>
      <c r="D35" s="29" t="inlineStr">
        <is>
          <t>Firewall Rules Implementation</t>
        </is>
      </c>
      <c r="E35" s="29" t="inlineStr">
        <is>
          <t>[System 1]: Assess 1 mandatory requirement(s)</t>
        </is>
      </c>
      <c r="F35" s="29" t="inlineStr"/>
      <c r="G35" s="29" t="inlineStr"/>
      <c r="H35" s="29" t="inlineStr"/>
      <c r="I35" s="29" t="inlineStr"/>
      <c r="J35" s="29" t="inlineStr"/>
      <c r="K35" s="29" t="inlineStr"/>
      <c r="L35" s="29" t="inlineStr"/>
      <c r="M35" s="26" t="inlineStr"/>
      <c r="N35" s="26" t="inlineStr"/>
    </row>
    <row r="36">
      <c r="A36" s="7" t="inlineStr">
        <is>
          <t>14.3.1.1</t>
        </is>
      </c>
      <c r="B36" s="7" t="inlineStr">
        <is>
          <t>NACSA-14.3.1a-NCII-SYS-001</t>
        </is>
      </c>
      <c r="C36" s="7" t="inlineStr"/>
      <c r="D36" s="7" t="inlineStr"/>
      <c r="E36" s="7" t="inlineStr">
        <is>
          <t>[System 1]: The NCII entity shall implement firewall rules to control traffic between network segments by:
- Enf...</t>
        </is>
      </c>
      <c r="F36" s="7" t="inlineStr">
        <is>
          <t>1. Request configuration documentation for the control.
2. Verify deployment covers all NCII network segments.
3. Review rule base/configuration for least-privilege and best practice.
4. Check for regular review and update of configurations.</t>
        </is>
      </c>
      <c r="G36" s="7" t="inlineStr">
        <is>
          <t>Configuration documentation; Rule base export; Review records; Network diagram</t>
        </is>
      </c>
      <c r="H36" s="7" t="inlineStr">
        <is>
          <t>Inspection</t>
        </is>
      </c>
      <c r="I36" s="7" t="inlineStr"/>
      <c r="J36" s="7" t="inlineStr"/>
      <c r="K36" s="7" t="inlineStr"/>
      <c r="L36" s="7" t="inlineStr"/>
      <c r="M36" s="7" t="inlineStr"/>
      <c r="N36" s="7" t="inlineStr"/>
    </row>
    <row r="37">
      <c r="A37" s="29" t="inlineStr">
        <is>
          <t>14.3.1</t>
        </is>
      </c>
      <c r="B37" s="29" t="inlineStr">
        <is>
          <t>NACSA-14.3.1-NCII-SYS-002</t>
        </is>
      </c>
      <c r="C37" s="29" t="inlineStr">
        <is>
          <t>SYSTEM</t>
        </is>
      </c>
      <c r="D37" s="29" t="inlineStr">
        <is>
          <t>Firewall Rules Implementation</t>
        </is>
      </c>
      <c r="E37" s="29" t="inlineStr">
        <is>
          <t>[System 2]: Assess 1 mandatory requirement(s)</t>
        </is>
      </c>
      <c r="F37" s="29" t="inlineStr"/>
      <c r="G37" s="29" t="inlineStr"/>
      <c r="H37" s="29" t="inlineStr"/>
      <c r="I37" s="29" t="inlineStr"/>
      <c r="J37" s="29" t="inlineStr"/>
      <c r="K37" s="29" t="inlineStr"/>
      <c r="L37" s="29" t="inlineStr"/>
      <c r="M37" s="26" t="inlineStr"/>
      <c r="N37" s="26" t="inlineStr"/>
    </row>
    <row r="38">
      <c r="A38" s="28" t="inlineStr">
        <is>
          <t>14.3.1.1</t>
        </is>
      </c>
      <c r="B38" s="28" t="inlineStr">
        <is>
          <t>NACSA-14.3.1a-NCII-SYS-002</t>
        </is>
      </c>
      <c r="C38" s="28" t="inlineStr"/>
      <c r="D38" s="28" t="inlineStr"/>
      <c r="E38" s="28" t="inlineStr">
        <is>
          <t>[System 2]: The NCII entity shall implement firewall rules to control traffic between network segments by:
- Enf...</t>
        </is>
      </c>
      <c r="F38" s="28" t="inlineStr">
        <is>
          <t>1. Request configuration documentation for the control.
2. Verify deployment covers all NCII network segments.
3. Review rule base/configuration for least-privilege and best practice.
4. Check for regular review and update of configurations.</t>
        </is>
      </c>
      <c r="G38" s="28" t="inlineStr">
        <is>
          <t>Configuration documentation; Rule base export; Review records; Network diagram</t>
        </is>
      </c>
      <c r="H38" s="28" t="inlineStr">
        <is>
          <t>Inspection</t>
        </is>
      </c>
      <c r="I38" s="28" t="inlineStr"/>
      <c r="J38" s="28" t="inlineStr"/>
      <c r="K38" s="28" t="inlineStr"/>
      <c r="L38" s="28" t="inlineStr"/>
      <c r="M38" s="28" t="inlineStr"/>
      <c r="N38" s="28" t="inlineStr"/>
    </row>
    <row r="39">
      <c r="A39" s="29" t="inlineStr">
        <is>
          <t>14.3.1</t>
        </is>
      </c>
      <c r="B39" s="29" t="inlineStr">
        <is>
          <t>NACSA-14.3.1-NCII-SYS-003</t>
        </is>
      </c>
      <c r="C39" s="29" t="inlineStr">
        <is>
          <t>SYSTEM</t>
        </is>
      </c>
      <c r="D39" s="29" t="inlineStr">
        <is>
          <t>Firewall Rules Implementation</t>
        </is>
      </c>
      <c r="E39" s="29" t="inlineStr">
        <is>
          <t>[System 3]: Assess 1 mandatory requirement(s)</t>
        </is>
      </c>
      <c r="F39" s="29" t="inlineStr"/>
      <c r="G39" s="29" t="inlineStr"/>
      <c r="H39" s="29" t="inlineStr"/>
      <c r="I39" s="29" t="inlineStr"/>
      <c r="J39" s="29" t="inlineStr"/>
      <c r="K39" s="29" t="inlineStr"/>
      <c r="L39" s="29" t="inlineStr"/>
      <c r="M39" s="26" t="inlineStr"/>
      <c r="N39" s="26" t="inlineStr"/>
    </row>
    <row r="40">
      <c r="A40" s="7" t="inlineStr">
        <is>
          <t>14.3.1.1</t>
        </is>
      </c>
      <c r="B40" s="7" t="inlineStr">
        <is>
          <t>NACSA-14.3.1a-NCII-SYS-003</t>
        </is>
      </c>
      <c r="C40" s="7" t="inlineStr"/>
      <c r="D40" s="7" t="inlineStr"/>
      <c r="E40" s="7" t="inlineStr">
        <is>
          <t>[System 3]: The NCII entity shall implement firewall rules to control traffic between network segments by:
- Enf...</t>
        </is>
      </c>
      <c r="F40" s="7" t="inlineStr">
        <is>
          <t>1. Request configuration documentation for the control.
2. Verify deployment covers all NCII network segments.
3. Review rule base/configuration for least-privilege and best practice.
4. Check for regular review and update of configurations.</t>
        </is>
      </c>
      <c r="G40" s="7" t="inlineStr">
        <is>
          <t>Configuration documentation; Rule base export; Review records; Network diagram</t>
        </is>
      </c>
      <c r="H40" s="7" t="inlineStr">
        <is>
          <t>Inspection</t>
        </is>
      </c>
      <c r="I40" s="7" t="inlineStr"/>
      <c r="J40" s="7" t="inlineStr"/>
      <c r="K40" s="7" t="inlineStr"/>
      <c r="L40" s="7" t="inlineStr"/>
      <c r="M40" s="7" t="inlineStr"/>
      <c r="N40" s="7" t="inlineStr"/>
    </row>
    <row r="41">
      <c r="A41" s="29" t="inlineStr">
        <is>
          <t>14.3.2</t>
        </is>
      </c>
      <c r="B41" s="29" t="inlineStr">
        <is>
          <t>NACSA-14.3.2-NCII-SYS-001</t>
        </is>
      </c>
      <c r="C41" s="29" t="inlineStr">
        <is>
          <t>SYSTEM</t>
        </is>
      </c>
      <c r="D41" s="29" t="inlineStr">
        <is>
          <t>Network Threat Detection Capability</t>
        </is>
      </c>
      <c r="E41" s="29" t="inlineStr">
        <is>
          <t>[System 1]: Assess 2 mandatory requirement(s)</t>
        </is>
      </c>
      <c r="F41" s="29" t="inlineStr"/>
      <c r="G41" s="29" t="inlineStr"/>
      <c r="H41" s="29" t="inlineStr"/>
      <c r="I41" s="29" t="inlineStr"/>
      <c r="J41" s="29" t="inlineStr"/>
      <c r="K41" s="29" t="inlineStr"/>
      <c r="L41" s="29" t="inlineStr"/>
      <c r="M41" s="26" t="inlineStr"/>
      <c r="N41" s="26" t="inlineStr"/>
    </row>
    <row r="42">
      <c r="A42" s="28" t="inlineStr">
        <is>
          <t>14.3.2.1</t>
        </is>
      </c>
      <c r="B42" s="28" t="inlineStr">
        <is>
          <t>NACSA-14.3.2a-NCII-SYS-001</t>
        </is>
      </c>
      <c r="C42" s="28" t="inlineStr"/>
      <c r="D42" s="28" t="inlineStr"/>
      <c r="E42" s="28" t="inlineStr">
        <is>
          <t>[System 1]: The NCII entity shall implement network threat detection capability to ensure timely detection and r...</t>
        </is>
      </c>
      <c r="F42" s="28" t="inlineStr">
        <is>
          <t>1. Request configuration documentation for the control.
2. Verify deployment covers all NCII network segments.
3. Review rule base/configuration for least-privilege and best practice.
4. Check for regular review and update of configurations.</t>
        </is>
      </c>
      <c r="G42" s="28" t="inlineStr">
        <is>
          <t>Configuration documentation; Rule base export; Review records; Network diagram</t>
        </is>
      </c>
      <c r="H42" s="28" t="inlineStr">
        <is>
          <t>Inspection</t>
        </is>
      </c>
      <c r="I42" s="28" t="inlineStr"/>
      <c r="J42" s="28" t="inlineStr"/>
      <c r="K42" s="28" t="inlineStr"/>
      <c r="L42" s="28" t="inlineStr"/>
      <c r="M42" s="28" t="inlineStr"/>
      <c r="N42" s="28" t="inlineStr"/>
    </row>
    <row r="43">
      <c r="A43" s="7" t="inlineStr">
        <is>
          <t>14.3.2.2</t>
        </is>
      </c>
      <c r="B43" s="7" t="inlineStr">
        <is>
          <t>NACSA-14.3.2b-NCII-SYS-001</t>
        </is>
      </c>
      <c r="C43" s="7" t="inlineStr"/>
      <c r="D43" s="7" t="inlineStr"/>
      <c r="E43" s="7" t="inlineStr">
        <is>
          <t>[System 1]: Threat detection capabilities shall be tested and refined regularly to adapt to evolving cyber risks...</t>
        </is>
      </c>
      <c r="F43" s="7" t="inlineStr">
        <is>
          <t>1. Request the monitoring procedure/SMP.
2. Verify monitoring tools deployed (SIEM, IDPS, EDR).
3. Check log source coverage includes all NCII systems.
4. Review MTTD/MTTR KPI performance for the assessment period.</t>
        </is>
      </c>
      <c r="G43" s="7" t="inlineStr">
        <is>
          <t>Monitoring procedure; Tool deployment evidence; Log source inventory; KPI dashboard/reports</t>
        </is>
      </c>
      <c r="H43" s="7" t="inlineStr">
        <is>
          <t>Inspection</t>
        </is>
      </c>
      <c r="I43" s="7" t="inlineStr"/>
      <c r="J43" s="7" t="inlineStr"/>
      <c r="K43" s="7" t="inlineStr"/>
      <c r="L43" s="7" t="inlineStr"/>
      <c r="M43" s="7" t="inlineStr"/>
      <c r="N43" s="7" t="inlineStr"/>
    </row>
    <row r="44">
      <c r="A44" s="29" t="inlineStr">
        <is>
          <t>14.3.2</t>
        </is>
      </c>
      <c r="B44" s="29" t="inlineStr">
        <is>
          <t>NACSA-14.3.2-NCII-SYS-002</t>
        </is>
      </c>
      <c r="C44" s="29" t="inlineStr">
        <is>
          <t>SYSTEM</t>
        </is>
      </c>
      <c r="D44" s="29" t="inlineStr">
        <is>
          <t>Network Threat Detection Capability</t>
        </is>
      </c>
      <c r="E44" s="29" t="inlineStr">
        <is>
          <t>[System 2]: Assess 2 mandatory requirement(s)</t>
        </is>
      </c>
      <c r="F44" s="29" t="inlineStr"/>
      <c r="G44" s="29" t="inlineStr"/>
      <c r="H44" s="29" t="inlineStr"/>
      <c r="I44" s="29" t="inlineStr"/>
      <c r="J44" s="29" t="inlineStr"/>
      <c r="K44" s="29" t="inlineStr"/>
      <c r="L44" s="29" t="inlineStr"/>
      <c r="M44" s="26" t="inlineStr"/>
      <c r="N44" s="26" t="inlineStr"/>
    </row>
    <row r="45">
      <c r="A45" s="28" t="inlineStr">
        <is>
          <t>14.3.2.1</t>
        </is>
      </c>
      <c r="B45" s="28" t="inlineStr">
        <is>
          <t>NACSA-14.3.2a-NCII-SYS-002</t>
        </is>
      </c>
      <c r="C45" s="28" t="inlineStr"/>
      <c r="D45" s="28" t="inlineStr"/>
      <c r="E45" s="28" t="inlineStr">
        <is>
          <t>[System 2]: The NCII entity shall implement network threat detection capability to ensure timely detection and r...</t>
        </is>
      </c>
      <c r="F45" s="28" t="inlineStr">
        <is>
          <t>1. Request configuration documentation for the control.
2. Verify deployment covers all NCII network segments.
3. Review rule base/configuration for least-privilege and best practice.
4. Check for regular review and update of configurations.</t>
        </is>
      </c>
      <c r="G45" s="28" t="inlineStr">
        <is>
          <t>Configuration documentation; Rule base export; Review records; Network diagram</t>
        </is>
      </c>
      <c r="H45" s="28" t="inlineStr">
        <is>
          <t>Inspection</t>
        </is>
      </c>
      <c r="I45" s="28" t="inlineStr"/>
      <c r="J45" s="28" t="inlineStr"/>
      <c r="K45" s="28" t="inlineStr"/>
      <c r="L45" s="28" t="inlineStr"/>
      <c r="M45" s="28" t="inlineStr"/>
      <c r="N45" s="28" t="inlineStr"/>
    </row>
    <row r="46">
      <c r="A46" s="7" t="inlineStr">
        <is>
          <t>14.3.2.2</t>
        </is>
      </c>
      <c r="B46" s="7" t="inlineStr">
        <is>
          <t>NACSA-14.3.2b-NCII-SYS-002</t>
        </is>
      </c>
      <c r="C46" s="7" t="inlineStr"/>
      <c r="D46" s="7" t="inlineStr"/>
      <c r="E46" s="7" t="inlineStr">
        <is>
          <t>[System 2]: Threat detection capabilities shall be tested and refined regularly to adapt to evolving cyber risks...</t>
        </is>
      </c>
      <c r="F46" s="7" t="inlineStr">
        <is>
          <t>1. Request the monitoring procedure/SMP.
2. Verify monitoring tools deployed (SIEM, IDPS, EDR).
3. Check log source coverage includes all NCII systems.
4. Review MTTD/MTTR KPI performance for the assessment period.</t>
        </is>
      </c>
      <c r="G46" s="7" t="inlineStr">
        <is>
          <t>Monitoring procedure; Tool deployment evidence; Log source inventory; KPI dashboard/reports</t>
        </is>
      </c>
      <c r="H46" s="7" t="inlineStr">
        <is>
          <t>Inspection</t>
        </is>
      </c>
      <c r="I46" s="7" t="inlineStr"/>
      <c r="J46" s="7" t="inlineStr"/>
      <c r="K46" s="7" t="inlineStr"/>
      <c r="L46" s="7" t="inlineStr"/>
      <c r="M46" s="7" t="inlineStr"/>
      <c r="N46" s="7" t="inlineStr"/>
    </row>
    <row r="47">
      <c r="A47" s="29" t="inlineStr">
        <is>
          <t>14.3.2</t>
        </is>
      </c>
      <c r="B47" s="29" t="inlineStr">
        <is>
          <t>NACSA-14.3.2-NCII-SYS-003</t>
        </is>
      </c>
      <c r="C47" s="29" t="inlineStr">
        <is>
          <t>SYSTEM</t>
        </is>
      </c>
      <c r="D47" s="29" t="inlineStr">
        <is>
          <t>Network Threat Detection Capability</t>
        </is>
      </c>
      <c r="E47" s="29" t="inlineStr">
        <is>
          <t>[System 3]: Assess 2 mandatory requirement(s)</t>
        </is>
      </c>
      <c r="F47" s="29" t="inlineStr"/>
      <c r="G47" s="29" t="inlineStr"/>
      <c r="H47" s="29" t="inlineStr"/>
      <c r="I47" s="29" t="inlineStr"/>
      <c r="J47" s="29" t="inlineStr"/>
      <c r="K47" s="29" t="inlineStr"/>
      <c r="L47" s="29" t="inlineStr"/>
      <c r="M47" s="26" t="inlineStr"/>
      <c r="N47" s="26" t="inlineStr"/>
    </row>
    <row r="48">
      <c r="A48" s="28" t="inlineStr">
        <is>
          <t>14.3.2.1</t>
        </is>
      </c>
      <c r="B48" s="28" t="inlineStr">
        <is>
          <t>NACSA-14.3.2a-NCII-SYS-003</t>
        </is>
      </c>
      <c r="C48" s="28" t="inlineStr"/>
      <c r="D48" s="28" t="inlineStr"/>
      <c r="E48" s="28" t="inlineStr">
        <is>
          <t>[System 3]: The NCII entity shall implement network threat detection capability to ensure timely detection and r...</t>
        </is>
      </c>
      <c r="F48" s="28" t="inlineStr">
        <is>
          <t>1. Request configuration documentation for the control.
2. Verify deployment covers all NCII network segments.
3. Review rule base/configuration for least-privilege and best practice.
4. Check for regular review and update of configurations.</t>
        </is>
      </c>
      <c r="G48" s="28" t="inlineStr">
        <is>
          <t>Configuration documentation; Rule base export; Review records; Network diagram</t>
        </is>
      </c>
      <c r="H48" s="28" t="inlineStr">
        <is>
          <t>Inspection</t>
        </is>
      </c>
      <c r="I48" s="28" t="inlineStr"/>
      <c r="J48" s="28" t="inlineStr"/>
      <c r="K48" s="28" t="inlineStr"/>
      <c r="L48" s="28" t="inlineStr"/>
      <c r="M48" s="28" t="inlineStr"/>
      <c r="N48" s="28" t="inlineStr"/>
    </row>
    <row r="49">
      <c r="A49" s="7" t="inlineStr">
        <is>
          <t>14.3.2.2</t>
        </is>
      </c>
      <c r="B49" s="7" t="inlineStr">
        <is>
          <t>NACSA-14.3.2b-NCII-SYS-003</t>
        </is>
      </c>
      <c r="C49" s="7" t="inlineStr"/>
      <c r="D49" s="7" t="inlineStr"/>
      <c r="E49" s="7" t="inlineStr">
        <is>
          <t>[System 3]: Threat detection capabilities shall be tested and refined regularly to adapt to evolving cyber risks...</t>
        </is>
      </c>
      <c r="F49" s="7" t="inlineStr">
        <is>
          <t>1. Request the monitoring procedure/SMP.
2. Verify monitoring tools deployed (SIEM, IDPS, EDR).
3. Check log source coverage includes all NCII systems.
4. Review MTTD/MTTR KPI performance for the assessment period.</t>
        </is>
      </c>
      <c r="G49" s="7" t="inlineStr">
        <is>
          <t>Monitoring procedure; Tool deployment evidence; Log source inventory; KPI dashboard/reports</t>
        </is>
      </c>
      <c r="H49" s="7" t="inlineStr">
        <is>
          <t>Inspection</t>
        </is>
      </c>
      <c r="I49" s="7" t="inlineStr"/>
      <c r="J49" s="7" t="inlineStr"/>
      <c r="K49" s="7" t="inlineStr"/>
      <c r="L49" s="7" t="inlineStr"/>
      <c r="M49" s="7" t="inlineStr"/>
      <c r="N49" s="7" t="inlineStr"/>
    </row>
    <row r="50">
      <c r="A50" s="29" t="inlineStr">
        <is>
          <t>14.3.3</t>
        </is>
      </c>
      <c r="B50" s="29" t="inlineStr">
        <is>
          <t>NACSA-14.3.3-NCII-SYS-001</t>
        </is>
      </c>
      <c r="C50" s="29" t="inlineStr">
        <is>
          <t>SYSTEM</t>
        </is>
      </c>
      <c r="D50" s="29" t="inlineStr">
        <is>
          <t>Network Access Control (NAC) Solutions</t>
        </is>
      </c>
      <c r="E50" s="29" t="inlineStr">
        <is>
          <t>[System 1]: Assess 1 mandatory requirement(s)</t>
        </is>
      </c>
      <c r="F50" s="29" t="inlineStr"/>
      <c r="G50" s="29" t="inlineStr"/>
      <c r="H50" s="29" t="inlineStr"/>
      <c r="I50" s="29" t="inlineStr"/>
      <c r="J50" s="29" t="inlineStr"/>
      <c r="K50" s="29" t="inlineStr"/>
      <c r="L50" s="29" t="inlineStr"/>
      <c r="M50" s="26" t="inlineStr"/>
      <c r="N50" s="26" t="inlineStr"/>
    </row>
    <row r="51">
      <c r="A51" s="28" t="inlineStr">
        <is>
          <t>14.3.3.1</t>
        </is>
      </c>
      <c r="B51" s="28" t="inlineStr">
        <is>
          <t>NACSA-14.3.3a-NCII-SYS-001</t>
        </is>
      </c>
      <c r="C51" s="28" t="inlineStr"/>
      <c r="D51" s="28" t="inlineStr"/>
      <c r="E51" s="28" t="inlineStr">
        <is>
          <t>[System 1]: The NCII entity shall implement NAC solutions across the organisation to enforce access policies, in...</t>
        </is>
      </c>
      <c r="F51" s="28" t="inlineStr">
        <is>
          <t>1. Request configuration documentation for the control.
2. Verify deployment covers all NCII network segments.
3. Review rule base/configuration for least-privilege and best practice.
4. Check for regular review and update of configurations.</t>
        </is>
      </c>
      <c r="G51" s="28" t="inlineStr">
        <is>
          <t>Configuration documentation; Rule base export; Review records; Network diagram</t>
        </is>
      </c>
      <c r="H51" s="28" t="inlineStr">
        <is>
          <t>Inspection</t>
        </is>
      </c>
      <c r="I51" s="28" t="inlineStr"/>
      <c r="J51" s="28" t="inlineStr"/>
      <c r="K51" s="28" t="inlineStr"/>
      <c r="L51" s="28" t="inlineStr"/>
      <c r="M51" s="28" t="inlineStr"/>
      <c r="N51" s="28" t="inlineStr"/>
    </row>
    <row r="52">
      <c r="A52" s="29" t="inlineStr">
        <is>
          <t>14.3.3</t>
        </is>
      </c>
      <c r="B52" s="29" t="inlineStr">
        <is>
          <t>NACSA-14.3.3-NCII-SYS-002</t>
        </is>
      </c>
      <c r="C52" s="29" t="inlineStr">
        <is>
          <t>SYSTEM</t>
        </is>
      </c>
      <c r="D52" s="29" t="inlineStr">
        <is>
          <t>Network Access Control (NAC) Solutions</t>
        </is>
      </c>
      <c r="E52" s="29" t="inlineStr">
        <is>
          <t>[System 2]: Assess 1 mandatory requirement(s)</t>
        </is>
      </c>
      <c r="F52" s="29" t="inlineStr"/>
      <c r="G52" s="29" t="inlineStr"/>
      <c r="H52" s="29" t="inlineStr"/>
      <c r="I52" s="29" t="inlineStr"/>
      <c r="J52" s="29" t="inlineStr"/>
      <c r="K52" s="29" t="inlineStr"/>
      <c r="L52" s="29" t="inlineStr"/>
      <c r="M52" s="26" t="inlineStr"/>
      <c r="N52" s="26" t="inlineStr"/>
    </row>
    <row r="53">
      <c r="A53" s="7" t="inlineStr">
        <is>
          <t>14.3.3.1</t>
        </is>
      </c>
      <c r="B53" s="7" t="inlineStr">
        <is>
          <t>NACSA-14.3.3a-NCII-SYS-002</t>
        </is>
      </c>
      <c r="C53" s="7" t="inlineStr"/>
      <c r="D53" s="7" t="inlineStr"/>
      <c r="E53" s="7" t="inlineStr">
        <is>
          <t>[System 2]: The NCII entity shall implement NAC solutions across the organisation to enforce access policies, in...</t>
        </is>
      </c>
      <c r="F53" s="7" t="inlineStr">
        <is>
          <t>1. Request configuration documentation for the control.
2. Verify deployment covers all NCII network segments.
3. Review rule base/configuration for least-privilege and best practice.
4. Check for regular review and update of configurations.</t>
        </is>
      </c>
      <c r="G53" s="7" t="inlineStr">
        <is>
          <t>Configuration documentation; Rule base export; Review records; Network diagram</t>
        </is>
      </c>
      <c r="H53" s="7" t="inlineStr">
        <is>
          <t>Inspection</t>
        </is>
      </c>
      <c r="I53" s="7" t="inlineStr"/>
      <c r="J53" s="7" t="inlineStr"/>
      <c r="K53" s="7" t="inlineStr"/>
      <c r="L53" s="7" t="inlineStr"/>
      <c r="M53" s="7" t="inlineStr"/>
      <c r="N53" s="7" t="inlineStr"/>
    </row>
    <row r="54">
      <c r="A54" s="29" t="inlineStr">
        <is>
          <t>14.3.3</t>
        </is>
      </c>
      <c r="B54" s="29" t="inlineStr">
        <is>
          <t>NACSA-14.3.3-NCII-SYS-003</t>
        </is>
      </c>
      <c r="C54" s="29" t="inlineStr">
        <is>
          <t>SYSTEM</t>
        </is>
      </c>
      <c r="D54" s="29" t="inlineStr">
        <is>
          <t>Network Access Control (NAC) Solutions</t>
        </is>
      </c>
      <c r="E54" s="29" t="inlineStr">
        <is>
          <t>[System 3]: Assess 1 mandatory requirement(s)</t>
        </is>
      </c>
      <c r="F54" s="29" t="inlineStr"/>
      <c r="G54" s="29" t="inlineStr"/>
      <c r="H54" s="29" t="inlineStr"/>
      <c r="I54" s="29" t="inlineStr"/>
      <c r="J54" s="29" t="inlineStr"/>
      <c r="K54" s="29" t="inlineStr"/>
      <c r="L54" s="29" t="inlineStr"/>
      <c r="M54" s="26" t="inlineStr"/>
      <c r="N54" s="26" t="inlineStr"/>
    </row>
    <row r="55">
      <c r="A55" s="28" t="inlineStr">
        <is>
          <t>14.3.3.1</t>
        </is>
      </c>
      <c r="B55" s="28" t="inlineStr">
        <is>
          <t>NACSA-14.3.3a-NCII-SYS-003</t>
        </is>
      </c>
      <c r="C55" s="28" t="inlineStr"/>
      <c r="D55" s="28" t="inlineStr"/>
      <c r="E55" s="28" t="inlineStr">
        <is>
          <t>[System 3]: The NCII entity shall implement NAC solutions across the organisation to enforce access policies, in...</t>
        </is>
      </c>
      <c r="F55" s="28" t="inlineStr">
        <is>
          <t>1. Request configuration documentation for the control.
2. Verify deployment covers all NCII network segments.
3. Review rule base/configuration for least-privilege and best practice.
4. Check for regular review and update of configurations.</t>
        </is>
      </c>
      <c r="G55" s="28" t="inlineStr">
        <is>
          <t>Configuration documentation; Rule base export; Review records; Network diagram</t>
        </is>
      </c>
      <c r="H55" s="28" t="inlineStr">
        <is>
          <t>Inspection</t>
        </is>
      </c>
      <c r="I55" s="28" t="inlineStr"/>
      <c r="J55" s="28" t="inlineStr"/>
      <c r="K55" s="28" t="inlineStr"/>
      <c r="L55" s="28" t="inlineStr"/>
      <c r="M55" s="28" t="inlineStr"/>
      <c r="N55" s="28" t="inlineStr"/>
    </row>
    <row r="56">
      <c r="A56" s="29" t="inlineStr">
        <is>
          <t>14.3.4</t>
        </is>
      </c>
      <c r="B56" s="29" t="inlineStr">
        <is>
          <t>NACSA-14.3.4-NCII-SYS-001</t>
        </is>
      </c>
      <c r="C56" s="29" t="inlineStr">
        <is>
          <t>SYSTEM</t>
        </is>
      </c>
      <c r="D56" s="29" t="inlineStr">
        <is>
          <t>Review of Network Security Controls</t>
        </is>
      </c>
      <c r="E56" s="29" t="inlineStr">
        <is>
          <t>[System 1]: Assess 1 mandatory requirement(s)</t>
        </is>
      </c>
      <c r="F56" s="29" t="inlineStr"/>
      <c r="G56" s="29" t="inlineStr"/>
      <c r="H56" s="29" t="inlineStr"/>
      <c r="I56" s="29" t="inlineStr"/>
      <c r="J56" s="29" t="inlineStr"/>
      <c r="K56" s="29" t="inlineStr"/>
      <c r="L56" s="29" t="inlineStr"/>
      <c r="M56" s="26" t="inlineStr"/>
      <c r="N56" s="26" t="inlineStr"/>
    </row>
    <row r="57">
      <c r="A57" s="7" t="inlineStr">
        <is>
          <t>14.3.4.1</t>
        </is>
      </c>
      <c r="B57" s="7" t="inlineStr">
        <is>
          <t>NACSA-14.3.4a-NCII-SYS-001</t>
        </is>
      </c>
      <c r="C57" s="7" t="inlineStr"/>
      <c r="D57" s="7" t="inlineStr"/>
      <c r="E57" s="7" t="inlineStr">
        <is>
          <t>[System 1]: Firewall rules, network threat detection capability, and NAC solutions shall be reviewed annually to...</t>
        </is>
      </c>
      <c r="F57" s="7"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57" s="7" t="inlineStr">
        <is>
          <t>Review report/minutes; Updated document post-review; Approval of changes</t>
        </is>
      </c>
      <c r="H57" s="7" t="inlineStr">
        <is>
          <t>Inspection</t>
        </is>
      </c>
      <c r="I57" s="7" t="inlineStr"/>
      <c r="J57" s="7" t="inlineStr"/>
      <c r="K57" s="7" t="inlineStr"/>
      <c r="L57" s="7" t="inlineStr"/>
      <c r="M57" s="7" t="inlineStr"/>
      <c r="N57" s="7" t="inlineStr"/>
    </row>
    <row r="58">
      <c r="A58" s="29" t="inlineStr">
        <is>
          <t>14.3.4</t>
        </is>
      </c>
      <c r="B58" s="29" t="inlineStr">
        <is>
          <t>NACSA-14.3.4-NCII-SYS-002</t>
        </is>
      </c>
      <c r="C58" s="29" t="inlineStr">
        <is>
          <t>SYSTEM</t>
        </is>
      </c>
      <c r="D58" s="29" t="inlineStr">
        <is>
          <t>Review of Network Security Controls</t>
        </is>
      </c>
      <c r="E58" s="29" t="inlineStr">
        <is>
          <t>[System 2]: Assess 1 mandatory requirement(s)</t>
        </is>
      </c>
      <c r="F58" s="29" t="inlineStr"/>
      <c r="G58" s="29" t="inlineStr"/>
      <c r="H58" s="29" t="inlineStr"/>
      <c r="I58" s="29" t="inlineStr"/>
      <c r="J58" s="29" t="inlineStr"/>
      <c r="K58" s="29" t="inlineStr"/>
      <c r="L58" s="29" t="inlineStr"/>
      <c r="M58" s="26" t="inlineStr"/>
      <c r="N58" s="26" t="inlineStr"/>
    </row>
    <row r="59">
      <c r="A59" s="28" t="inlineStr">
        <is>
          <t>14.3.4.1</t>
        </is>
      </c>
      <c r="B59" s="28" t="inlineStr">
        <is>
          <t>NACSA-14.3.4a-NCII-SYS-002</t>
        </is>
      </c>
      <c r="C59" s="28" t="inlineStr"/>
      <c r="D59" s="28" t="inlineStr"/>
      <c r="E59" s="28" t="inlineStr">
        <is>
          <t>[System 2]: Firewall rules, network threat detection capability, and NAC solutions shall be reviewed annually to...</t>
        </is>
      </c>
      <c r="F59" s="28"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59" s="28" t="inlineStr">
        <is>
          <t>Review report/minutes; Updated document post-review; Approval of changes</t>
        </is>
      </c>
      <c r="H59" s="28" t="inlineStr">
        <is>
          <t>Inspection</t>
        </is>
      </c>
      <c r="I59" s="28" t="inlineStr"/>
      <c r="J59" s="28" t="inlineStr"/>
      <c r="K59" s="28" t="inlineStr"/>
      <c r="L59" s="28" t="inlineStr"/>
      <c r="M59" s="28" t="inlineStr"/>
      <c r="N59" s="28" t="inlineStr"/>
    </row>
    <row r="60">
      <c r="A60" s="29" t="inlineStr">
        <is>
          <t>14.3.4</t>
        </is>
      </c>
      <c r="B60" s="29" t="inlineStr">
        <is>
          <t>NACSA-14.3.4-NCII-SYS-003</t>
        </is>
      </c>
      <c r="C60" s="29" t="inlineStr">
        <is>
          <t>SYSTEM</t>
        </is>
      </c>
      <c r="D60" s="29" t="inlineStr">
        <is>
          <t>Review of Network Security Controls</t>
        </is>
      </c>
      <c r="E60" s="29" t="inlineStr">
        <is>
          <t>[System 3]: Assess 1 mandatory requirement(s)</t>
        </is>
      </c>
      <c r="F60" s="29" t="inlineStr"/>
      <c r="G60" s="29" t="inlineStr"/>
      <c r="H60" s="29" t="inlineStr"/>
      <c r="I60" s="29" t="inlineStr"/>
      <c r="J60" s="29" t="inlineStr"/>
      <c r="K60" s="29" t="inlineStr"/>
      <c r="L60" s="29" t="inlineStr"/>
      <c r="M60" s="26" t="inlineStr"/>
      <c r="N60" s="26" t="inlineStr"/>
    </row>
    <row r="61">
      <c r="A61" s="7" t="inlineStr">
        <is>
          <t>14.3.4.1</t>
        </is>
      </c>
      <c r="B61" s="7" t="inlineStr">
        <is>
          <t>NACSA-14.3.4a-NCII-SYS-003</t>
        </is>
      </c>
      <c r="C61" s="7" t="inlineStr"/>
      <c r="D61" s="7" t="inlineStr"/>
      <c r="E61" s="7" t="inlineStr">
        <is>
          <t>[System 3]: Firewall rules, network threat detection capability, and NAC solutions shall be reviewed annually to...</t>
        </is>
      </c>
      <c r="F61" s="7"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61" s="7" t="inlineStr">
        <is>
          <t>Review report/minutes; Updated document post-review; Approval of changes</t>
        </is>
      </c>
      <c r="H61" s="7" t="inlineStr">
        <is>
          <t>Inspection</t>
        </is>
      </c>
      <c r="I61" s="7" t="inlineStr"/>
      <c r="J61" s="7" t="inlineStr"/>
      <c r="K61" s="7" t="inlineStr"/>
      <c r="L61" s="7" t="inlineStr"/>
      <c r="M61" s="7" t="inlineStr"/>
      <c r="N61" s="7" t="inlineStr"/>
    </row>
    <row r="62">
      <c r="A62" s="29" t="inlineStr">
        <is>
          <t>14.4.1</t>
        </is>
      </c>
      <c r="B62" s="29" t="inlineStr">
        <is>
          <t>NACSA-14.4.1-NCII-SYS-001</t>
        </is>
      </c>
      <c r="C62" s="29" t="inlineStr">
        <is>
          <t>SYSTEM</t>
        </is>
      </c>
      <c r="D62" s="29" t="inlineStr">
        <is>
          <t>Implementation of Malware Detection and Prevention Software</t>
        </is>
      </c>
      <c r="E62" s="29" t="inlineStr">
        <is>
          <t>[System 1]: Assess 4 mandatory requirement(s)</t>
        </is>
      </c>
      <c r="F62" s="29" t="inlineStr"/>
      <c r="G62" s="29" t="inlineStr"/>
      <c r="H62" s="29" t="inlineStr"/>
      <c r="I62" s="29" t="inlineStr"/>
      <c r="J62" s="29" t="inlineStr"/>
      <c r="K62" s="29" t="inlineStr"/>
      <c r="L62" s="29" t="inlineStr"/>
      <c r="M62" s="26" t="inlineStr"/>
      <c r="N62" s="26" t="inlineStr"/>
    </row>
    <row r="63">
      <c r="A63" s="28" t="inlineStr">
        <is>
          <t>14.4.1.1</t>
        </is>
      </c>
      <c r="B63" s="28" t="inlineStr">
        <is>
          <t>NACSA-14.4.1a-NCII-SYS-001</t>
        </is>
      </c>
      <c r="C63" s="28" t="inlineStr"/>
      <c r="D63" s="28" t="inlineStr"/>
      <c r="E63" s="28" t="inlineStr">
        <is>
          <t>[System 1]: Malware detection and prevention software shall be deployed across all endpoints, servers, and netwo...</t>
        </is>
      </c>
      <c r="F63" s="28" t="inlineStr">
        <is>
          <t>1. Request the monitoring procedure/SMP.
2. Verify monitoring tools deployed (SIEM, IDPS, EDR).
3. Check log source coverage includes all NCII systems.
4. Review MTTD/MTTR KPI performance for the assessment period.</t>
        </is>
      </c>
      <c r="G63" s="28" t="inlineStr">
        <is>
          <t>Monitoring procedure; Tool deployment evidence; Log source inventory; KPI dashboard/reports</t>
        </is>
      </c>
      <c r="H63" s="28" t="inlineStr">
        <is>
          <t>Inspection</t>
        </is>
      </c>
      <c r="I63" s="28" t="inlineStr"/>
      <c r="J63" s="28" t="inlineStr"/>
      <c r="K63" s="28" t="inlineStr"/>
      <c r="L63" s="28" t="inlineStr"/>
      <c r="M63" s="28" t="inlineStr"/>
      <c r="N63" s="28" t="inlineStr"/>
    </row>
    <row r="64">
      <c r="A64" s="7" t="inlineStr">
        <is>
          <t>14.4.1.2</t>
        </is>
      </c>
      <c r="B64" s="7" t="inlineStr">
        <is>
          <t>NACSA-14.4.1b-NCII-SYS-001</t>
        </is>
      </c>
      <c r="C64" s="7" t="inlineStr"/>
      <c r="D64" s="7" t="inlineStr"/>
      <c r="E64" s="7" t="inlineStr">
        <is>
          <t>[System 1]: Features of the malware detection and prevention software shall include:
- Real-time scanning for ma...</t>
        </is>
      </c>
      <c r="F64" s="7" t="inlineStr">
        <is>
          <t>1. Request the monitoring procedure/SMP.
2. Verify monitoring tools deployed (SIEM, IDPS, EDR).
3. Check log source coverage includes all NCII systems.
4. Review MTTD/MTTR KPI performance for the assessment period.</t>
        </is>
      </c>
      <c r="G64" s="7" t="inlineStr">
        <is>
          <t>Monitoring procedure; Tool deployment evidence; Log source inventory; KPI dashboard/reports</t>
        </is>
      </c>
      <c r="H64" s="7" t="inlineStr">
        <is>
          <t>Inspection</t>
        </is>
      </c>
      <c r="I64" s="7" t="inlineStr"/>
      <c r="J64" s="7" t="inlineStr"/>
      <c r="K64" s="7" t="inlineStr"/>
      <c r="L64" s="7" t="inlineStr"/>
      <c r="M64" s="7" t="inlineStr"/>
      <c r="N64" s="7" t="inlineStr"/>
    </row>
    <row r="65">
      <c r="A65" s="28" t="inlineStr">
        <is>
          <t>14.4.1.3</t>
        </is>
      </c>
      <c r="B65" s="28" t="inlineStr">
        <is>
          <t>NACSA-14.4.1c-NCII-SYS-001</t>
        </is>
      </c>
      <c r="C65" s="28" t="inlineStr"/>
      <c r="D65" s="28" t="inlineStr"/>
      <c r="E65" s="28" t="inlineStr">
        <is>
          <t>[System 1]: NCII entities user must not disable the malware detection and prevention software on their assets.</t>
        </is>
      </c>
      <c r="F65" s="28" t="inlineStr">
        <is>
          <t>1. Request the monitoring procedure/SMP.
2. Verify monitoring tools deployed (SIEM, IDPS, EDR).
3. Check log source coverage includes all NCII systems.
4. Review MTTD/MTTR KPI performance for the assessment period.</t>
        </is>
      </c>
      <c r="G65" s="28" t="inlineStr">
        <is>
          <t>Monitoring procedure; Tool deployment evidence; Log source inventory; KPI dashboard/reports</t>
        </is>
      </c>
      <c r="H65" s="28" t="inlineStr">
        <is>
          <t>Inspection</t>
        </is>
      </c>
      <c r="I65" s="28" t="inlineStr"/>
      <c r="J65" s="28" t="inlineStr"/>
      <c r="K65" s="28" t="inlineStr"/>
      <c r="L65" s="28" t="inlineStr"/>
      <c r="M65" s="28" t="inlineStr"/>
      <c r="N65" s="28" t="inlineStr"/>
    </row>
    <row r="66">
      <c r="A66" s="7" t="inlineStr">
        <is>
          <t>14.4.1.4</t>
        </is>
      </c>
      <c r="B66" s="7" t="inlineStr">
        <is>
          <t>NACSA-14.4.1d-NCII-SYS-001</t>
        </is>
      </c>
      <c r="C66" s="7" t="inlineStr"/>
      <c r="D66" s="7" t="inlineStr"/>
      <c r="E66" s="7" t="inlineStr">
        <is>
          <t>[System 1]: The software must be configured to automatically update and IT support must ensure that the malware ...</t>
        </is>
      </c>
      <c r="F66" s="7" t="inlineStr">
        <is>
          <t>1. Request secure development standards/guidelines.
2. Verify alignment with OWASP Top 10.
3. Check security testing integration in SDLC (SAST, DAST, SCA).
4. Review most recent application security test results.</t>
        </is>
      </c>
      <c r="G66" s="7" t="inlineStr">
        <is>
          <t>Secure coding standards; OWASP mapping; Security test reports; SDLC documentation</t>
        </is>
      </c>
      <c r="H66" s="7" t="inlineStr">
        <is>
          <t>Inspection</t>
        </is>
      </c>
      <c r="I66" s="7" t="inlineStr"/>
      <c r="J66" s="7" t="inlineStr"/>
      <c r="K66" s="7" t="inlineStr"/>
      <c r="L66" s="7" t="inlineStr"/>
      <c r="M66" s="7" t="inlineStr"/>
      <c r="N66" s="7" t="inlineStr"/>
    </row>
    <row r="67">
      <c r="A67" s="29" t="inlineStr">
        <is>
          <t>14.4.1</t>
        </is>
      </c>
      <c r="B67" s="29" t="inlineStr">
        <is>
          <t>NACSA-14.4.1-NCII-SYS-002</t>
        </is>
      </c>
      <c r="C67" s="29" t="inlineStr">
        <is>
          <t>SYSTEM</t>
        </is>
      </c>
      <c r="D67" s="29" t="inlineStr">
        <is>
          <t>Implementation of Malware Detection and Prevention Software</t>
        </is>
      </c>
      <c r="E67" s="29" t="inlineStr">
        <is>
          <t>[System 2]: Assess 4 mandatory requirement(s)</t>
        </is>
      </c>
      <c r="F67" s="29" t="inlineStr"/>
      <c r="G67" s="29" t="inlineStr"/>
      <c r="H67" s="29" t="inlineStr"/>
      <c r="I67" s="29" t="inlineStr"/>
      <c r="J67" s="29" t="inlineStr"/>
      <c r="K67" s="29" t="inlineStr"/>
      <c r="L67" s="29" t="inlineStr"/>
      <c r="M67" s="26" t="inlineStr"/>
      <c r="N67" s="26" t="inlineStr"/>
    </row>
    <row r="68">
      <c r="A68" s="28" t="inlineStr">
        <is>
          <t>14.4.1.1</t>
        </is>
      </c>
      <c r="B68" s="28" t="inlineStr">
        <is>
          <t>NACSA-14.4.1a-NCII-SYS-002</t>
        </is>
      </c>
      <c r="C68" s="28" t="inlineStr"/>
      <c r="D68" s="28" t="inlineStr"/>
      <c r="E68" s="28" t="inlineStr">
        <is>
          <t>[System 2]: Malware detection and prevention software shall be deployed across all endpoints, servers, and netwo...</t>
        </is>
      </c>
      <c r="F68" s="28" t="inlineStr">
        <is>
          <t>1. Request the monitoring procedure/SMP.
2. Verify monitoring tools deployed (SIEM, IDPS, EDR).
3. Check log source coverage includes all NCII systems.
4. Review MTTD/MTTR KPI performance for the assessment period.</t>
        </is>
      </c>
      <c r="G68" s="28" t="inlineStr">
        <is>
          <t>Monitoring procedure; Tool deployment evidence; Log source inventory; KPI dashboard/reports</t>
        </is>
      </c>
      <c r="H68" s="28" t="inlineStr">
        <is>
          <t>Inspection</t>
        </is>
      </c>
      <c r="I68" s="28" t="inlineStr"/>
      <c r="J68" s="28" t="inlineStr"/>
      <c r="K68" s="28" t="inlineStr"/>
      <c r="L68" s="28" t="inlineStr"/>
      <c r="M68" s="28" t="inlineStr"/>
      <c r="N68" s="28" t="inlineStr"/>
    </row>
    <row r="69">
      <c r="A69" s="7" t="inlineStr">
        <is>
          <t>14.4.1.2</t>
        </is>
      </c>
      <c r="B69" s="7" t="inlineStr">
        <is>
          <t>NACSA-14.4.1b-NCII-SYS-002</t>
        </is>
      </c>
      <c r="C69" s="7" t="inlineStr"/>
      <c r="D69" s="7" t="inlineStr"/>
      <c r="E69" s="7" t="inlineStr">
        <is>
          <t>[System 2]: Features of the malware detection and prevention software shall include:
- Real-time scanning for ma...</t>
        </is>
      </c>
      <c r="F69" s="7" t="inlineStr">
        <is>
          <t>1. Request the monitoring procedure/SMP.
2. Verify monitoring tools deployed (SIEM, IDPS, EDR).
3. Check log source coverage includes all NCII systems.
4. Review MTTD/MTTR KPI performance for the assessment period.</t>
        </is>
      </c>
      <c r="G69" s="7" t="inlineStr">
        <is>
          <t>Monitoring procedure; Tool deployment evidence; Log source inventory; KPI dashboard/reports</t>
        </is>
      </c>
      <c r="H69" s="7" t="inlineStr">
        <is>
          <t>Inspection</t>
        </is>
      </c>
      <c r="I69" s="7" t="inlineStr"/>
      <c r="J69" s="7" t="inlineStr"/>
      <c r="K69" s="7" t="inlineStr"/>
      <c r="L69" s="7" t="inlineStr"/>
      <c r="M69" s="7" t="inlineStr"/>
      <c r="N69" s="7" t="inlineStr"/>
    </row>
    <row r="70">
      <c r="A70" s="28" t="inlineStr">
        <is>
          <t>14.4.1.3</t>
        </is>
      </c>
      <c r="B70" s="28" t="inlineStr">
        <is>
          <t>NACSA-14.4.1c-NCII-SYS-002</t>
        </is>
      </c>
      <c r="C70" s="28" t="inlineStr"/>
      <c r="D70" s="28" t="inlineStr"/>
      <c r="E70" s="28" t="inlineStr">
        <is>
          <t>[System 2]: NCII entities user must not disable the malware detection and prevention software on their assets.</t>
        </is>
      </c>
      <c r="F70" s="28" t="inlineStr">
        <is>
          <t>1. Request the monitoring procedure/SMP.
2. Verify monitoring tools deployed (SIEM, IDPS, EDR).
3. Check log source coverage includes all NCII systems.
4. Review MTTD/MTTR KPI performance for the assessment period.</t>
        </is>
      </c>
      <c r="G70" s="28" t="inlineStr">
        <is>
          <t>Monitoring procedure; Tool deployment evidence; Log source inventory; KPI dashboard/reports</t>
        </is>
      </c>
      <c r="H70" s="28" t="inlineStr">
        <is>
          <t>Inspection</t>
        </is>
      </c>
      <c r="I70" s="28" t="inlineStr"/>
      <c r="J70" s="28" t="inlineStr"/>
      <c r="K70" s="28" t="inlineStr"/>
      <c r="L70" s="28" t="inlineStr"/>
      <c r="M70" s="28" t="inlineStr"/>
      <c r="N70" s="28" t="inlineStr"/>
    </row>
    <row r="71">
      <c r="A71" s="7" t="inlineStr">
        <is>
          <t>14.4.1.4</t>
        </is>
      </c>
      <c r="B71" s="7" t="inlineStr">
        <is>
          <t>NACSA-14.4.1d-NCII-SYS-002</t>
        </is>
      </c>
      <c r="C71" s="7" t="inlineStr"/>
      <c r="D71" s="7" t="inlineStr"/>
      <c r="E71" s="7" t="inlineStr">
        <is>
          <t>[System 2]: The software must be configured to automatically update and IT support must ensure that the malware ...</t>
        </is>
      </c>
      <c r="F71" s="7" t="inlineStr">
        <is>
          <t>1. Request secure development standards/guidelines.
2. Verify alignment with OWASP Top 10.
3. Check security testing integration in SDLC (SAST, DAST, SCA).
4. Review most recent application security test results.</t>
        </is>
      </c>
      <c r="G71" s="7" t="inlineStr">
        <is>
          <t>Secure coding standards; OWASP mapping; Security test reports; SDLC documentation</t>
        </is>
      </c>
      <c r="H71" s="7" t="inlineStr">
        <is>
          <t>Inspection</t>
        </is>
      </c>
      <c r="I71" s="7" t="inlineStr"/>
      <c r="J71" s="7" t="inlineStr"/>
      <c r="K71" s="7" t="inlineStr"/>
      <c r="L71" s="7" t="inlineStr"/>
      <c r="M71" s="7" t="inlineStr"/>
      <c r="N71" s="7" t="inlineStr"/>
    </row>
    <row r="72">
      <c r="A72" s="29" t="inlineStr">
        <is>
          <t>14.4.1</t>
        </is>
      </c>
      <c r="B72" s="29" t="inlineStr">
        <is>
          <t>NACSA-14.4.1-NCII-SYS-003</t>
        </is>
      </c>
      <c r="C72" s="29" t="inlineStr">
        <is>
          <t>SYSTEM</t>
        </is>
      </c>
      <c r="D72" s="29" t="inlineStr">
        <is>
          <t>Implementation of Malware Detection and Prevention Software</t>
        </is>
      </c>
      <c r="E72" s="29" t="inlineStr">
        <is>
          <t>[System 3]: Assess 4 mandatory requirement(s)</t>
        </is>
      </c>
      <c r="F72" s="29" t="inlineStr"/>
      <c r="G72" s="29" t="inlineStr"/>
      <c r="H72" s="29" t="inlineStr"/>
      <c r="I72" s="29" t="inlineStr"/>
      <c r="J72" s="29" t="inlineStr"/>
      <c r="K72" s="29" t="inlineStr"/>
      <c r="L72" s="29" t="inlineStr"/>
      <c r="M72" s="26" t="inlineStr"/>
      <c r="N72" s="26" t="inlineStr"/>
    </row>
    <row r="73">
      <c r="A73" s="28" t="inlineStr">
        <is>
          <t>14.4.1.1</t>
        </is>
      </c>
      <c r="B73" s="28" t="inlineStr">
        <is>
          <t>NACSA-14.4.1a-NCII-SYS-003</t>
        </is>
      </c>
      <c r="C73" s="28" t="inlineStr"/>
      <c r="D73" s="28" t="inlineStr"/>
      <c r="E73" s="28" t="inlineStr">
        <is>
          <t>[System 3]: Malware detection and prevention software shall be deployed across all endpoints, servers, and netwo...</t>
        </is>
      </c>
      <c r="F73" s="28" t="inlineStr">
        <is>
          <t>1. Request the monitoring procedure/SMP.
2. Verify monitoring tools deployed (SIEM, IDPS, EDR).
3. Check log source coverage includes all NCII systems.
4. Review MTTD/MTTR KPI performance for the assessment period.</t>
        </is>
      </c>
      <c r="G73" s="28" t="inlineStr">
        <is>
          <t>Monitoring procedure; Tool deployment evidence; Log source inventory; KPI dashboard/reports</t>
        </is>
      </c>
      <c r="H73" s="28" t="inlineStr">
        <is>
          <t>Inspection</t>
        </is>
      </c>
      <c r="I73" s="28" t="inlineStr"/>
      <c r="J73" s="28" t="inlineStr"/>
      <c r="K73" s="28" t="inlineStr"/>
      <c r="L73" s="28" t="inlineStr"/>
      <c r="M73" s="28" t="inlineStr"/>
      <c r="N73" s="28" t="inlineStr"/>
    </row>
    <row r="74">
      <c r="A74" s="7" t="inlineStr">
        <is>
          <t>14.4.1.2</t>
        </is>
      </c>
      <c r="B74" s="7" t="inlineStr">
        <is>
          <t>NACSA-14.4.1b-NCII-SYS-003</t>
        </is>
      </c>
      <c r="C74" s="7" t="inlineStr"/>
      <c r="D74" s="7" t="inlineStr"/>
      <c r="E74" s="7" t="inlineStr">
        <is>
          <t>[System 3]: Features of the malware detection and prevention software shall include:
- Real-time scanning for ma...</t>
        </is>
      </c>
      <c r="F74" s="7" t="inlineStr">
        <is>
          <t>1. Request the monitoring procedure/SMP.
2. Verify monitoring tools deployed (SIEM, IDPS, EDR).
3. Check log source coverage includes all NCII systems.
4. Review MTTD/MTTR KPI performance for the assessment period.</t>
        </is>
      </c>
      <c r="G74" s="7" t="inlineStr">
        <is>
          <t>Monitoring procedure; Tool deployment evidence; Log source inventory; KPI dashboard/reports</t>
        </is>
      </c>
      <c r="H74" s="7" t="inlineStr">
        <is>
          <t>Inspection</t>
        </is>
      </c>
      <c r="I74" s="7" t="inlineStr"/>
      <c r="J74" s="7" t="inlineStr"/>
      <c r="K74" s="7" t="inlineStr"/>
      <c r="L74" s="7" t="inlineStr"/>
      <c r="M74" s="7" t="inlineStr"/>
      <c r="N74" s="7" t="inlineStr"/>
    </row>
    <row r="75">
      <c r="A75" s="28" t="inlineStr">
        <is>
          <t>14.4.1.3</t>
        </is>
      </c>
      <c r="B75" s="28" t="inlineStr">
        <is>
          <t>NACSA-14.4.1c-NCII-SYS-003</t>
        </is>
      </c>
      <c r="C75" s="28" t="inlineStr"/>
      <c r="D75" s="28" t="inlineStr"/>
      <c r="E75" s="28" t="inlineStr">
        <is>
          <t>[System 3]: NCII entities user must not disable the malware detection and prevention software on their assets.</t>
        </is>
      </c>
      <c r="F75" s="28" t="inlineStr">
        <is>
          <t>1. Request the monitoring procedure/SMP.
2. Verify monitoring tools deployed (SIEM, IDPS, EDR).
3. Check log source coverage includes all NCII systems.
4. Review MTTD/MTTR KPI performance for the assessment period.</t>
        </is>
      </c>
      <c r="G75" s="28" t="inlineStr">
        <is>
          <t>Monitoring procedure; Tool deployment evidence; Log source inventory; KPI dashboard/reports</t>
        </is>
      </c>
      <c r="H75" s="28" t="inlineStr">
        <is>
          <t>Inspection</t>
        </is>
      </c>
      <c r="I75" s="28" t="inlineStr"/>
      <c r="J75" s="28" t="inlineStr"/>
      <c r="K75" s="28" t="inlineStr"/>
      <c r="L75" s="28" t="inlineStr"/>
      <c r="M75" s="28" t="inlineStr"/>
      <c r="N75" s="28" t="inlineStr"/>
    </row>
    <row r="76">
      <c r="A76" s="7" t="inlineStr">
        <is>
          <t>14.4.1.4</t>
        </is>
      </c>
      <c r="B76" s="7" t="inlineStr">
        <is>
          <t>NACSA-14.4.1d-NCII-SYS-003</t>
        </is>
      </c>
      <c r="C76" s="7" t="inlineStr"/>
      <c r="D76" s="7" t="inlineStr"/>
      <c r="E76" s="7" t="inlineStr">
        <is>
          <t>[System 3]: The software must be configured to automatically update and IT support must ensure that the malware ...</t>
        </is>
      </c>
      <c r="F76" s="7" t="inlineStr">
        <is>
          <t>1. Request secure development standards/guidelines.
2. Verify alignment with OWASP Top 10.
3. Check security testing integration in SDLC (SAST, DAST, SCA).
4. Review most recent application security test results.</t>
        </is>
      </c>
      <c r="G76" s="7" t="inlineStr">
        <is>
          <t>Secure coding standards; OWASP mapping; Security test reports; SDLC documentation</t>
        </is>
      </c>
      <c r="H76" s="7" t="inlineStr">
        <is>
          <t>Inspection</t>
        </is>
      </c>
      <c r="I76" s="7" t="inlineStr"/>
      <c r="J76" s="7" t="inlineStr"/>
      <c r="K76" s="7" t="inlineStr"/>
      <c r="L76" s="7" t="inlineStr"/>
      <c r="M76" s="7" t="inlineStr"/>
      <c r="N76" s="7" t="inlineStr"/>
    </row>
    <row r="77">
      <c r="A77" s="29" t="inlineStr">
        <is>
          <t>14.4.2</t>
        </is>
      </c>
      <c r="B77" s="29" t="inlineStr">
        <is>
          <t>NACSA-14.4.2-NCII-SYS-001</t>
        </is>
      </c>
      <c r="C77" s="29" t="inlineStr">
        <is>
          <t>SYSTEM</t>
        </is>
      </c>
      <c r="D77" s="29" t="inlineStr">
        <is>
          <t>Integration with Security Information and Event Monitoring (SIEM)</t>
        </is>
      </c>
      <c r="E77" s="29" t="inlineStr">
        <is>
          <t>[System 1]: Assess 1 mandatory requirement(s)</t>
        </is>
      </c>
      <c r="F77" s="29" t="inlineStr"/>
      <c r="G77" s="29" t="inlineStr"/>
      <c r="H77" s="29" t="inlineStr"/>
      <c r="I77" s="29" t="inlineStr"/>
      <c r="J77" s="29" t="inlineStr"/>
      <c r="K77" s="29" t="inlineStr"/>
      <c r="L77" s="29" t="inlineStr"/>
      <c r="M77" s="26" t="inlineStr"/>
      <c r="N77" s="26" t="inlineStr"/>
    </row>
    <row r="78">
      <c r="A78" s="28" t="inlineStr">
        <is>
          <t>14.4.2.1</t>
        </is>
      </c>
      <c r="B78" s="28" t="inlineStr">
        <is>
          <t>NACSA-14.4.2a-NCII-SYS-001</t>
        </is>
      </c>
      <c r="C78" s="28" t="inlineStr"/>
      <c r="D78" s="28" t="inlineStr"/>
      <c r="E78" s="28" t="inlineStr">
        <is>
          <t>[System 1]: Logs from malware detection and prevention software shall be integrated with tools, such as SIEM, th...</t>
        </is>
      </c>
      <c r="F78" s="28" t="inlineStr">
        <is>
          <t>1. Request the monitoring procedure/SMP.
2. Verify monitoring tools deployed (SIEM, IDPS, EDR).
3. Check log source coverage includes all NCII systems.
4. Review MTTD/MTTR KPI performance for the assessment period.</t>
        </is>
      </c>
      <c r="G78" s="28" t="inlineStr">
        <is>
          <t>Monitoring procedure; Tool deployment evidence; Log source inventory; KPI dashboard/reports</t>
        </is>
      </c>
      <c r="H78" s="28" t="inlineStr">
        <is>
          <t>Inspection</t>
        </is>
      </c>
      <c r="I78" s="28" t="inlineStr"/>
      <c r="J78" s="28" t="inlineStr"/>
      <c r="K78" s="28" t="inlineStr"/>
      <c r="L78" s="28" t="inlineStr"/>
      <c r="M78" s="28" t="inlineStr"/>
      <c r="N78" s="28" t="inlineStr"/>
    </row>
    <row r="79">
      <c r="A79" s="29" t="inlineStr">
        <is>
          <t>14.4.2</t>
        </is>
      </c>
      <c r="B79" s="29" t="inlineStr">
        <is>
          <t>NACSA-14.4.2-NCII-SYS-002</t>
        </is>
      </c>
      <c r="C79" s="29" t="inlineStr">
        <is>
          <t>SYSTEM</t>
        </is>
      </c>
      <c r="D79" s="29" t="inlineStr">
        <is>
          <t>Integration with Security Information and Event Monitoring (SIEM)</t>
        </is>
      </c>
      <c r="E79" s="29" t="inlineStr">
        <is>
          <t>[System 2]: Assess 1 mandatory requirement(s)</t>
        </is>
      </c>
      <c r="F79" s="29" t="inlineStr"/>
      <c r="G79" s="29" t="inlineStr"/>
      <c r="H79" s="29" t="inlineStr"/>
      <c r="I79" s="29" t="inlineStr"/>
      <c r="J79" s="29" t="inlineStr"/>
      <c r="K79" s="29" t="inlineStr"/>
      <c r="L79" s="29" t="inlineStr"/>
      <c r="M79" s="26" t="inlineStr"/>
      <c r="N79" s="26" t="inlineStr"/>
    </row>
    <row r="80">
      <c r="A80" s="7" t="inlineStr">
        <is>
          <t>14.4.2.1</t>
        </is>
      </c>
      <c r="B80" s="7" t="inlineStr">
        <is>
          <t>NACSA-14.4.2a-NCII-SYS-002</t>
        </is>
      </c>
      <c r="C80" s="7" t="inlineStr"/>
      <c r="D80" s="7" t="inlineStr"/>
      <c r="E80" s="7" t="inlineStr">
        <is>
          <t>[System 2]: Logs from malware detection and prevention software shall be integrated with tools, such as SIEM, th...</t>
        </is>
      </c>
      <c r="F80" s="7" t="inlineStr">
        <is>
          <t>1. Request the monitoring procedure/SMP.
2. Verify monitoring tools deployed (SIEM, IDPS, EDR).
3. Check log source coverage includes all NCII systems.
4. Review MTTD/MTTR KPI performance for the assessment period.</t>
        </is>
      </c>
      <c r="G80" s="7" t="inlineStr">
        <is>
          <t>Monitoring procedure; Tool deployment evidence; Log source inventory; KPI dashboard/reports</t>
        </is>
      </c>
      <c r="H80" s="7" t="inlineStr">
        <is>
          <t>Inspection</t>
        </is>
      </c>
      <c r="I80" s="7" t="inlineStr"/>
      <c r="J80" s="7" t="inlineStr"/>
      <c r="K80" s="7" t="inlineStr"/>
      <c r="L80" s="7" t="inlineStr"/>
      <c r="M80" s="7" t="inlineStr"/>
      <c r="N80" s="7" t="inlineStr"/>
    </row>
    <row r="81">
      <c r="A81" s="29" t="inlineStr">
        <is>
          <t>14.4.2</t>
        </is>
      </c>
      <c r="B81" s="29" t="inlineStr">
        <is>
          <t>NACSA-14.4.2-NCII-SYS-003</t>
        </is>
      </c>
      <c r="C81" s="29" t="inlineStr">
        <is>
          <t>SYSTEM</t>
        </is>
      </c>
      <c r="D81" s="29" t="inlineStr">
        <is>
          <t>Integration with Security Information and Event Monitoring (SIEM)</t>
        </is>
      </c>
      <c r="E81" s="29" t="inlineStr">
        <is>
          <t>[System 3]: Assess 1 mandatory requirement(s)</t>
        </is>
      </c>
      <c r="F81" s="29" t="inlineStr"/>
      <c r="G81" s="29" t="inlineStr"/>
      <c r="H81" s="29" t="inlineStr"/>
      <c r="I81" s="29" t="inlineStr"/>
      <c r="J81" s="29" t="inlineStr"/>
      <c r="K81" s="29" t="inlineStr"/>
      <c r="L81" s="29" t="inlineStr"/>
      <c r="M81" s="26" t="inlineStr"/>
      <c r="N81" s="26" t="inlineStr"/>
    </row>
    <row r="82">
      <c r="A82" s="28" t="inlineStr">
        <is>
          <t>14.4.2.1</t>
        </is>
      </c>
      <c r="B82" s="28" t="inlineStr">
        <is>
          <t>NACSA-14.4.2a-NCII-SYS-003</t>
        </is>
      </c>
      <c r="C82" s="28" t="inlineStr"/>
      <c r="D82" s="28" t="inlineStr"/>
      <c r="E82" s="28" t="inlineStr">
        <is>
          <t>[System 3]: Logs from malware detection and prevention software shall be integrated with tools, such as SIEM, th...</t>
        </is>
      </c>
      <c r="F82" s="28" t="inlineStr">
        <is>
          <t>1. Request the monitoring procedure/SMP.
2. Verify monitoring tools deployed (SIEM, IDPS, EDR).
3. Check log source coverage includes all NCII systems.
4. Review MTTD/MTTR KPI performance for the assessment period.</t>
        </is>
      </c>
      <c r="G82" s="28" t="inlineStr">
        <is>
          <t>Monitoring procedure; Tool deployment evidence; Log source inventory; KPI dashboard/reports</t>
        </is>
      </c>
      <c r="H82" s="28" t="inlineStr">
        <is>
          <t>Inspection</t>
        </is>
      </c>
      <c r="I82" s="28" t="inlineStr"/>
      <c r="J82" s="28" t="inlineStr"/>
      <c r="K82" s="28" t="inlineStr"/>
      <c r="L82" s="28" t="inlineStr"/>
      <c r="M82" s="28" t="inlineStr"/>
      <c r="N82" s="28" t="inlineStr"/>
    </row>
    <row r="83">
      <c r="A83" s="29" t="inlineStr">
        <is>
          <t>14.4.3</t>
        </is>
      </c>
      <c r="B83" s="29" t="inlineStr">
        <is>
          <t>NACSA-14.4.3-NCII-SYS-001</t>
        </is>
      </c>
      <c r="C83" s="29" t="inlineStr">
        <is>
          <t>SYSTEM</t>
        </is>
      </c>
      <c r="D83" s="29" t="inlineStr">
        <is>
          <t>Regular Analysis and Evaluation</t>
        </is>
      </c>
      <c r="E83" s="29" t="inlineStr">
        <is>
          <t>[System 1]: Assess 2 mandatory requirement(s)</t>
        </is>
      </c>
      <c r="F83" s="29" t="inlineStr"/>
      <c r="G83" s="29" t="inlineStr"/>
      <c r="H83" s="29" t="inlineStr"/>
      <c r="I83" s="29" t="inlineStr"/>
      <c r="J83" s="29" t="inlineStr"/>
      <c r="K83" s="29" t="inlineStr"/>
      <c r="L83" s="29" t="inlineStr"/>
      <c r="M83" s="26" t="inlineStr"/>
      <c r="N83" s="26" t="inlineStr"/>
    </row>
    <row r="84">
      <c r="A84" s="7" t="inlineStr">
        <is>
          <t>14.4.3.1</t>
        </is>
      </c>
      <c r="B84" s="7" t="inlineStr">
        <is>
          <t>NACSA-14.4.3a-NCII-SYS-001</t>
        </is>
      </c>
      <c r="C84" s="7" t="inlineStr"/>
      <c r="D84" s="7" t="inlineStr"/>
      <c r="E84" s="7" t="inlineStr">
        <is>
          <t>[System 1]: Logs generated by the malware detection and prevention software shall be regularly analysed for patt...</t>
        </is>
      </c>
      <c r="F84" s="7" t="inlineStr">
        <is>
          <t>1. Request the monitoring procedure/SMP.
2. Verify monitoring tools deployed (SIEM, IDPS, EDR).
3. Check log source coverage includes all NCII systems.
4. Review MTTD/MTTR KPI performance for the assessment period.</t>
        </is>
      </c>
      <c r="G84" s="7" t="inlineStr">
        <is>
          <t>Monitoring procedure; Tool deployment evidence; Log source inventory; KPI dashboard/reports</t>
        </is>
      </c>
      <c r="H84" s="7" t="inlineStr">
        <is>
          <t>Inspection</t>
        </is>
      </c>
      <c r="I84" s="7" t="inlineStr"/>
      <c r="J84" s="7" t="inlineStr"/>
      <c r="K84" s="7" t="inlineStr"/>
      <c r="L84" s="7" t="inlineStr"/>
      <c r="M84" s="7" t="inlineStr"/>
      <c r="N84" s="7" t="inlineStr"/>
    </row>
    <row r="85">
      <c r="A85" s="28" t="inlineStr">
        <is>
          <t>14.4.3.2</t>
        </is>
      </c>
      <c r="B85" s="28" t="inlineStr">
        <is>
          <t>NACSA-14.4.3b-NCII-SYS-001</t>
        </is>
      </c>
      <c r="C85" s="28" t="inlineStr"/>
      <c r="D85" s="28" t="inlineStr"/>
      <c r="E85" s="28" t="inlineStr">
        <is>
          <t>[System 1]: Identified malware must be removed from the NCII entity's assets.</t>
        </is>
      </c>
      <c r="F85" s="28" t="inlineStr">
        <is>
          <t>1. Request the asset register/CMDB extract.
2. Verify all NCII systems are included with required attributes.
3. Sample 15 assets — confirm data accuracy (owner, classification, status).
4. Check maintenance plan and review records.</t>
        </is>
      </c>
      <c r="G85" s="28" t="inlineStr">
        <is>
          <t>Asset register/CMDB; Asset classification records; Maintenance plan; Review records</t>
        </is>
      </c>
      <c r="H85" s="28" t="inlineStr">
        <is>
          <t>Inspection</t>
        </is>
      </c>
      <c r="I85" s="28" t="inlineStr"/>
      <c r="J85" s="28" t="inlineStr"/>
      <c r="K85" s="28" t="inlineStr"/>
      <c r="L85" s="28" t="inlineStr"/>
      <c r="M85" s="28" t="inlineStr"/>
      <c r="N85" s="28" t="inlineStr"/>
    </row>
    <row r="86">
      <c r="A86" s="29" t="inlineStr">
        <is>
          <t>14.4.3</t>
        </is>
      </c>
      <c r="B86" s="29" t="inlineStr">
        <is>
          <t>NACSA-14.4.3-NCII-SYS-002</t>
        </is>
      </c>
      <c r="C86" s="29" t="inlineStr">
        <is>
          <t>SYSTEM</t>
        </is>
      </c>
      <c r="D86" s="29" t="inlineStr">
        <is>
          <t>Regular Analysis and Evaluation</t>
        </is>
      </c>
      <c r="E86" s="29" t="inlineStr">
        <is>
          <t>[System 2]: Assess 2 mandatory requirement(s)</t>
        </is>
      </c>
      <c r="F86" s="29" t="inlineStr"/>
      <c r="G86" s="29" t="inlineStr"/>
      <c r="H86" s="29" t="inlineStr"/>
      <c r="I86" s="29" t="inlineStr"/>
      <c r="J86" s="29" t="inlineStr"/>
      <c r="K86" s="29" t="inlineStr"/>
      <c r="L86" s="29" t="inlineStr"/>
      <c r="M86" s="26" t="inlineStr"/>
      <c r="N86" s="26" t="inlineStr"/>
    </row>
    <row r="87">
      <c r="A87" s="7" t="inlineStr">
        <is>
          <t>14.4.3.1</t>
        </is>
      </c>
      <c r="B87" s="7" t="inlineStr">
        <is>
          <t>NACSA-14.4.3a-NCII-SYS-002</t>
        </is>
      </c>
      <c r="C87" s="7" t="inlineStr"/>
      <c r="D87" s="7" t="inlineStr"/>
      <c r="E87" s="7" t="inlineStr">
        <is>
          <t>[System 2]: Logs generated by the malware detection and prevention software shall be regularly analysed for patt...</t>
        </is>
      </c>
      <c r="F87" s="7" t="inlineStr">
        <is>
          <t>1. Request the monitoring procedure/SMP.
2. Verify monitoring tools deployed (SIEM, IDPS, EDR).
3. Check log source coverage includes all NCII systems.
4. Review MTTD/MTTR KPI performance for the assessment period.</t>
        </is>
      </c>
      <c r="G87" s="7" t="inlineStr">
        <is>
          <t>Monitoring procedure; Tool deployment evidence; Log source inventory; KPI dashboard/reports</t>
        </is>
      </c>
      <c r="H87" s="7" t="inlineStr">
        <is>
          <t>Inspection</t>
        </is>
      </c>
      <c r="I87" s="7" t="inlineStr"/>
      <c r="J87" s="7" t="inlineStr"/>
      <c r="K87" s="7" t="inlineStr"/>
      <c r="L87" s="7" t="inlineStr"/>
      <c r="M87" s="7" t="inlineStr"/>
      <c r="N87" s="7" t="inlineStr"/>
    </row>
    <row r="88">
      <c r="A88" s="28" t="inlineStr">
        <is>
          <t>14.4.3.2</t>
        </is>
      </c>
      <c r="B88" s="28" t="inlineStr">
        <is>
          <t>NACSA-14.4.3b-NCII-SYS-002</t>
        </is>
      </c>
      <c r="C88" s="28" t="inlineStr"/>
      <c r="D88" s="28" t="inlineStr"/>
      <c r="E88" s="28" t="inlineStr">
        <is>
          <t>[System 2]: Identified malware must be removed from the NCII entity's assets.</t>
        </is>
      </c>
      <c r="F88" s="28" t="inlineStr">
        <is>
          <t>1. Request the asset register/CMDB extract.
2. Verify all NCII systems are included with required attributes.
3. Sample 15 assets — confirm data accuracy (owner, classification, status).
4. Check maintenance plan and review records.</t>
        </is>
      </c>
      <c r="G88" s="28" t="inlineStr">
        <is>
          <t>Asset register/CMDB; Asset classification records; Maintenance plan; Review records</t>
        </is>
      </c>
      <c r="H88" s="28" t="inlineStr">
        <is>
          <t>Inspection</t>
        </is>
      </c>
      <c r="I88" s="28" t="inlineStr"/>
      <c r="J88" s="28" t="inlineStr"/>
      <c r="K88" s="28" t="inlineStr"/>
      <c r="L88" s="28" t="inlineStr"/>
      <c r="M88" s="28" t="inlineStr"/>
      <c r="N88" s="28" t="inlineStr"/>
    </row>
    <row r="89">
      <c r="A89" s="29" t="inlineStr">
        <is>
          <t>14.4.3</t>
        </is>
      </c>
      <c r="B89" s="29" t="inlineStr">
        <is>
          <t>NACSA-14.4.3-NCII-SYS-003</t>
        </is>
      </c>
      <c r="C89" s="29" t="inlineStr">
        <is>
          <t>SYSTEM</t>
        </is>
      </c>
      <c r="D89" s="29" t="inlineStr">
        <is>
          <t>Regular Analysis and Evaluation</t>
        </is>
      </c>
      <c r="E89" s="29" t="inlineStr">
        <is>
          <t>[System 3]: Assess 2 mandatory requirement(s)</t>
        </is>
      </c>
      <c r="F89" s="29" t="inlineStr"/>
      <c r="G89" s="29" t="inlineStr"/>
      <c r="H89" s="29" t="inlineStr"/>
      <c r="I89" s="29" t="inlineStr"/>
      <c r="J89" s="29" t="inlineStr"/>
      <c r="K89" s="29" t="inlineStr"/>
      <c r="L89" s="29" t="inlineStr"/>
      <c r="M89" s="26" t="inlineStr"/>
      <c r="N89" s="26" t="inlineStr"/>
    </row>
    <row r="90">
      <c r="A90" s="7" t="inlineStr">
        <is>
          <t>14.4.3.1</t>
        </is>
      </c>
      <c r="B90" s="7" t="inlineStr">
        <is>
          <t>NACSA-14.4.3a-NCII-SYS-003</t>
        </is>
      </c>
      <c r="C90" s="7" t="inlineStr"/>
      <c r="D90" s="7" t="inlineStr"/>
      <c r="E90" s="7" t="inlineStr">
        <is>
          <t>[System 3]: Logs generated by the malware detection and prevention software shall be regularly analysed for patt...</t>
        </is>
      </c>
      <c r="F90" s="7" t="inlineStr">
        <is>
          <t>1. Request the monitoring procedure/SMP.
2. Verify monitoring tools deployed (SIEM, IDPS, EDR).
3. Check log source coverage includes all NCII systems.
4. Review MTTD/MTTR KPI performance for the assessment period.</t>
        </is>
      </c>
      <c r="G90" s="7" t="inlineStr">
        <is>
          <t>Monitoring procedure; Tool deployment evidence; Log source inventory; KPI dashboard/reports</t>
        </is>
      </c>
      <c r="H90" s="7" t="inlineStr">
        <is>
          <t>Inspection</t>
        </is>
      </c>
      <c r="I90" s="7" t="inlineStr"/>
      <c r="J90" s="7" t="inlineStr"/>
      <c r="K90" s="7" t="inlineStr"/>
      <c r="L90" s="7" t="inlineStr"/>
      <c r="M90" s="7" t="inlineStr"/>
      <c r="N90" s="7" t="inlineStr"/>
    </row>
    <row r="91">
      <c r="A91" s="28" t="inlineStr">
        <is>
          <t>14.4.3.2</t>
        </is>
      </c>
      <c r="B91" s="28" t="inlineStr">
        <is>
          <t>NACSA-14.4.3b-NCII-SYS-003</t>
        </is>
      </c>
      <c r="C91" s="28" t="inlineStr"/>
      <c r="D91" s="28" t="inlineStr"/>
      <c r="E91" s="28" t="inlineStr">
        <is>
          <t>[System 3]: Identified malware must be removed from the NCII entity's assets.</t>
        </is>
      </c>
      <c r="F91" s="28" t="inlineStr">
        <is>
          <t>1. Request the asset register/CMDB extract.
2. Verify all NCII systems are included with required attributes.
3. Sample 15 assets — confirm data accuracy (owner, classification, status).
4. Check maintenance plan and review records.</t>
        </is>
      </c>
      <c r="G91" s="28" t="inlineStr">
        <is>
          <t>Asset register/CMDB; Asset classification records; Maintenance plan; Review records</t>
        </is>
      </c>
      <c r="H91" s="28" t="inlineStr">
        <is>
          <t>Inspection</t>
        </is>
      </c>
      <c r="I91" s="28" t="inlineStr"/>
      <c r="J91" s="28" t="inlineStr"/>
      <c r="K91" s="28" t="inlineStr"/>
      <c r="L91" s="28" t="inlineStr"/>
      <c r="M91" s="28" t="inlineStr"/>
      <c r="N91" s="28" t="inlineStr"/>
    </row>
  </sheetData>
  <mergeCells count="3">
    <mergeCell ref="A3:N3"/>
    <mergeCell ref="A2:N2"/>
    <mergeCell ref="A22:N22"/>
  </mergeCells>
  <conditionalFormatting sqref="M4:M92">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91"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15.0 — Access Control (Organisation-Level)</t>
        </is>
      </c>
      <c r="B2" s="38" t="n"/>
      <c r="C2" s="38" t="n"/>
      <c r="D2" s="38" t="n"/>
      <c r="E2" s="38" t="n"/>
      <c r="F2" s="38" t="n"/>
      <c r="G2" s="38" t="n"/>
      <c r="H2" s="38" t="n"/>
      <c r="I2" s="38" t="n"/>
      <c r="J2" s="38" t="n"/>
      <c r="K2" s="38" t="n"/>
      <c r="L2" s="38" t="n"/>
      <c r="M2" s="38" t="n"/>
      <c r="N2" s="39" t="n"/>
    </row>
    <row r="3" ht="60" customHeight="1">
      <c r="A3" s="23" t="inlineStr">
        <is>
          <t>WHY: Access control ensures only authorised individuals access NCII systems with appropriate privileges. IAM, SoD, and password management are foundational controls.
WHAT GOOD LOOKS LIKE: IAM with MFA enforced on all NCII access, documented SoD matrix, password management system aligned to NIST 800-63B, regular access reviews with revocation evidence.
KEY RISK IF ABSENT: Excessive privileges, shared accounts, compromised credentials, insider threat, segregation of duties failures enabling fraud.</t>
        </is>
      </c>
      <c r="B3" s="38" t="n"/>
      <c r="C3" s="38" t="n"/>
      <c r="D3" s="38" t="n"/>
      <c r="E3" s="38" t="n"/>
      <c r="F3" s="38" t="n"/>
      <c r="G3" s="38" t="n"/>
      <c r="H3" s="38" t="n"/>
      <c r="I3" s="38" t="n"/>
      <c r="J3" s="38" t="n"/>
      <c r="K3" s="38" t="n"/>
      <c r="L3" s="38" t="n"/>
      <c r="M3" s="38" t="n"/>
      <c r="N3" s="39" t="n"/>
    </row>
    <row r="4">
      <c r="A4" s="25" t="inlineStr">
        <is>
          <t>15.1.2</t>
        </is>
      </c>
      <c r="B4" s="25" t="inlineStr">
        <is>
          <t>NACSA-15.1.2</t>
        </is>
      </c>
      <c r="C4" s="25" t="inlineStr">
        <is>
          <t>ORG</t>
        </is>
      </c>
      <c r="D4" s="25" t="inlineStr">
        <is>
          <t>Review and Approval</t>
        </is>
      </c>
      <c r="E4" s="25" t="inlineStr">
        <is>
          <t>Assess 1 mandatory requirement(s) + 1 improvement opportunity(ies)</t>
        </is>
      </c>
      <c r="F4" s="25" t="inlineStr"/>
      <c r="G4" s="25" t="inlineStr"/>
      <c r="H4" s="25" t="inlineStr"/>
      <c r="I4" s="25" t="inlineStr"/>
      <c r="J4" s="25" t="inlineStr"/>
      <c r="K4" s="25" t="inlineStr"/>
      <c r="L4" s="25" t="inlineStr"/>
      <c r="M4" s="26" t="inlineStr"/>
      <c r="N4" s="26" t="inlineStr"/>
    </row>
    <row r="5">
      <c r="A5" s="7" t="inlineStr">
        <is>
          <t>15.1.2.1</t>
        </is>
      </c>
      <c r="B5" s="7" t="inlineStr">
        <is>
          <t>NACSA-15.1.2a</t>
        </is>
      </c>
      <c r="C5" s="7" t="inlineStr"/>
      <c r="D5" s="7" t="inlineStr"/>
      <c r="E5" s="7" t="inlineStr">
        <is>
          <t>The IAM procedure shall be reviewed and approved by the relevant cyber security governance committee as authorised by th...</t>
        </is>
      </c>
      <c r="F5" s="7" t="inlineStr">
        <is>
          <t>1. Request evidence of the last review — meeting minutes, review report, or updated document with review date.
2. Verify review was conducted within the required period (annually or as specified).
3. Check that review outcomes are documented with any changes approved.
4. Confirm the review addressed current threats, regulatory changes, and lessons learned.</t>
        </is>
      </c>
      <c r="G5" s="7" t="inlineStr">
        <is>
          <t>Relevant policy/procedure; Implementation evidence; Review/monitoring records</t>
        </is>
      </c>
      <c r="H5" s="7" t="inlineStr">
        <is>
          <t>Inspection</t>
        </is>
      </c>
      <c r="I5" s="7" t="inlineStr"/>
      <c r="J5" s="7" t="inlineStr"/>
      <c r="K5" s="7" t="inlineStr"/>
      <c r="L5" s="7" t="inlineStr"/>
      <c r="M5" s="7" t="inlineStr"/>
      <c r="N5" s="7" t="inlineStr"/>
    </row>
    <row r="6">
      <c r="A6" s="27" t="inlineStr">
        <is>
          <t>15.1.2.2</t>
        </is>
      </c>
      <c r="B6" s="27" t="inlineStr">
        <is>
          <t>NACSA-15.1.2b</t>
        </is>
      </c>
      <c r="C6" s="27" t="inlineStr"/>
      <c r="D6" s="27" t="inlineStr"/>
      <c r="E6" s="27" t="inlineStr">
        <is>
          <t>(Tier 2 -- Improvement Opportunity) Approval documentation should be maintained with a revision history to facilitat...</t>
        </is>
      </c>
      <c r="F6" s="27" t="inlineStr">
        <is>
          <t>1. Request the document with approval records (signatures, dates, approving authority).
2. Verify the approving authority is appropriate per the entity's governance structure.
3. Check that amendments since last approval are documented and re-approved.
4. Confirm the approval process aligns with the entity's document control procedures.</t>
        </is>
      </c>
      <c r="G6" s="27" t="inlineStr">
        <is>
          <t>Relevant policy/procedure; Implementation evidence; Review/monitoring records</t>
        </is>
      </c>
      <c r="H6" s="27" t="inlineStr">
        <is>
          <t>Inspection</t>
        </is>
      </c>
      <c r="I6" s="27" t="inlineStr"/>
      <c r="J6" s="27" t="inlineStr"/>
      <c r="K6" s="27" t="inlineStr"/>
      <c r="L6" s="27" t="inlineStr"/>
      <c r="M6" s="27" t="inlineStr"/>
      <c r="N6" s="27" t="inlineStr"/>
    </row>
    <row r="7">
      <c r="A7" s="25" t="inlineStr">
        <is>
          <t>15.1.3</t>
        </is>
      </c>
      <c r="B7" s="25" t="inlineStr">
        <is>
          <t>NACSA-15.1.3</t>
        </is>
      </c>
      <c r="C7" s="25" t="inlineStr">
        <is>
          <t>ORG</t>
        </is>
      </c>
      <c r="D7" s="25" t="inlineStr">
        <is>
          <t>Monitoring Compliance</t>
        </is>
      </c>
      <c r="E7" s="25" t="inlineStr">
        <is>
          <t>Assess 1 mandatory requirement(s) + 1 improvement opportunity(ies)</t>
        </is>
      </c>
      <c r="F7" s="25" t="inlineStr"/>
      <c r="G7" s="25" t="inlineStr"/>
      <c r="H7" s="25" t="inlineStr"/>
      <c r="I7" s="25" t="inlineStr"/>
      <c r="J7" s="25" t="inlineStr"/>
      <c r="K7" s="25" t="inlineStr"/>
      <c r="L7" s="25" t="inlineStr"/>
      <c r="M7" s="26" t="inlineStr"/>
      <c r="N7" s="26" t="inlineStr"/>
    </row>
    <row r="8">
      <c r="A8" s="7" t="inlineStr">
        <is>
          <t>15.1.3.1</t>
        </is>
      </c>
      <c r="B8" s="7" t="inlineStr">
        <is>
          <t>NACSA-15.1.3a</t>
        </is>
      </c>
      <c r="C8" s="7" t="inlineStr"/>
      <c r="D8" s="7" t="inlineStr"/>
      <c r="E8" s="7" t="inlineStr">
        <is>
          <t>Compliance with the IAM procedure, including the provision, revocation and modification of identities shall be regularly...</t>
        </is>
      </c>
      <c r="F8" s="7"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15.1.3.1.</t>
        </is>
      </c>
      <c r="G8" s="7" t="inlineStr">
        <is>
          <t>Approved policy/procedure document; Committee approval record; Version history</t>
        </is>
      </c>
      <c r="H8" s="7" t="inlineStr">
        <is>
          <t>Inspection</t>
        </is>
      </c>
      <c r="I8" s="7" t="inlineStr"/>
      <c r="J8" s="7" t="inlineStr"/>
      <c r="K8" s="7" t="inlineStr"/>
      <c r="L8" s="7" t="inlineStr"/>
      <c r="M8" s="7" t="inlineStr"/>
      <c r="N8" s="7" t="inlineStr"/>
    </row>
    <row r="9">
      <c r="A9" s="27" t="inlineStr">
        <is>
          <t>15.1.3.2</t>
        </is>
      </c>
      <c r="B9" s="27" t="inlineStr">
        <is>
          <t>NACSA-15.1.3b</t>
        </is>
      </c>
      <c r="C9" s="27" t="inlineStr"/>
      <c r="D9" s="27" t="inlineStr"/>
      <c r="E9" s="27" t="inlineStr">
        <is>
          <t>(Tier 2 -- Improvement Opportunity) Key compliance monitoring activities may include:
- Conducting periodic audits t...</t>
        </is>
      </c>
      <c r="F9" s="27" t="inlineStr">
        <is>
          <t>1. Request the most recent audit/assessment report.
2. Verify it was conducted by an approved/qualified party.
3. Confirm submission to CE NACSA within required timeframe.
4. Check that findings are tracked with remediation plans.</t>
        </is>
      </c>
      <c r="G9" s="27" t="inlineStr">
        <is>
          <t>Audit/assessment report; Assessor qualifications/approval; CE submission confirmation; Remediation tracker</t>
        </is>
      </c>
      <c r="H9" s="27" t="inlineStr">
        <is>
          <t>Inspection</t>
        </is>
      </c>
      <c r="I9" s="27" t="inlineStr"/>
      <c r="J9" s="27" t="inlineStr"/>
      <c r="K9" s="27" t="inlineStr"/>
      <c r="L9" s="27" t="inlineStr"/>
      <c r="M9" s="27" t="inlineStr"/>
      <c r="N9" s="27" t="inlineStr"/>
    </row>
    <row r="10">
      <c r="A10" s="25" t="inlineStr">
        <is>
          <t>15.1.4</t>
        </is>
      </c>
      <c r="B10" s="25" t="inlineStr">
        <is>
          <t>NACSA-15.1.4</t>
        </is>
      </c>
      <c r="C10" s="25" t="inlineStr">
        <is>
          <t>ORG</t>
        </is>
      </c>
      <c r="D10" s="25" t="inlineStr">
        <is>
          <t>Review of Identity and Access Management Procedures</t>
        </is>
      </c>
      <c r="E10" s="25" t="inlineStr">
        <is>
          <t>Assess 1 mandatory requirement(s) + 1 improvement opportunity(ies)</t>
        </is>
      </c>
      <c r="F10" s="25" t="inlineStr"/>
      <c r="G10" s="25" t="inlineStr"/>
      <c r="H10" s="25" t="inlineStr"/>
      <c r="I10" s="25" t="inlineStr"/>
      <c r="J10" s="25" t="inlineStr"/>
      <c r="K10" s="25" t="inlineStr"/>
      <c r="L10" s="25" t="inlineStr"/>
      <c r="M10" s="26" t="inlineStr"/>
      <c r="N10" s="26" t="inlineStr"/>
    </row>
    <row r="11">
      <c r="A11" s="7" t="inlineStr">
        <is>
          <t>15.1.4.1</t>
        </is>
      </c>
      <c r="B11" s="7" t="inlineStr">
        <is>
          <t>NACSA-15.1.4a</t>
        </is>
      </c>
      <c r="C11" s="7" t="inlineStr"/>
      <c r="D11" s="7" t="inlineStr"/>
      <c r="E11" s="7" t="inlineStr">
        <is>
          <t>The IAM procedure shall be reviewed at least annually and / or whenever significant changes occur, such as organisationa...</t>
        </is>
      </c>
      <c r="F11" s="7" t="inlineStr">
        <is>
          <t>1. Request evidence of the last review — meeting minutes, review report, or updated document with review date.
2. Verify review was conducted within the required period (annually or as specified).
3. Check that review outcomes are documented with any changes approved.
4. Confirm the review addressed current threats, regulatory changes, and lessons learned.</t>
        </is>
      </c>
      <c r="G11" s="7" t="inlineStr">
        <is>
          <t>Approved policy/procedure document; Committee approval record; Version history</t>
        </is>
      </c>
      <c r="H11" s="7" t="inlineStr">
        <is>
          <t>Inspection</t>
        </is>
      </c>
      <c r="I11" s="7" t="inlineStr"/>
      <c r="J11" s="7" t="inlineStr"/>
      <c r="K11" s="7" t="inlineStr"/>
      <c r="L11" s="7" t="inlineStr"/>
      <c r="M11" s="7" t="inlineStr"/>
      <c r="N11" s="7" t="inlineStr"/>
    </row>
    <row r="12">
      <c r="A12" s="27" t="inlineStr">
        <is>
          <t>15.1.4.2</t>
        </is>
      </c>
      <c r="B12" s="27" t="inlineStr">
        <is>
          <t>NACSA-15.1.4b</t>
        </is>
      </c>
      <c r="C12" s="27" t="inlineStr"/>
      <c r="D12" s="27" t="inlineStr"/>
      <c r="E12" s="27" t="inlineStr">
        <is>
          <t>(Tier 2 -- Improvement Opportunity) The review process should include the following activities:
- Evaluate the effec...</t>
        </is>
      </c>
      <c r="F12" s="27" t="inlineStr">
        <is>
          <t>1. Request evidence of communication to relevant stakeholders.
2. Verify communication method is appropriate (training, intranet, briefings).
3. Sample 10 staff — confirm acknowledgement/receipt of communication.
4. Confirm communication is current (reflects latest version).</t>
        </is>
      </c>
      <c r="G12" s="27" t="inlineStr">
        <is>
          <t>Communication records; Staff acknowledgement samples; Intranet/portal screenshots</t>
        </is>
      </c>
      <c r="H12" s="27" t="inlineStr">
        <is>
          <t>Inspection / Inquiry</t>
        </is>
      </c>
      <c r="I12" s="27" t="inlineStr"/>
      <c r="J12" s="27" t="inlineStr"/>
      <c r="K12" s="27" t="inlineStr"/>
      <c r="L12" s="27" t="inlineStr"/>
      <c r="M12" s="27" t="inlineStr"/>
      <c r="N12" s="27" t="inlineStr"/>
    </row>
    <row r="13">
      <c r="A13" s="25" t="inlineStr">
        <is>
          <t>15.2.1</t>
        </is>
      </c>
      <c r="B13" s="25" t="inlineStr">
        <is>
          <t>NACSA-15.2.1</t>
        </is>
      </c>
      <c r="C13" s="25" t="inlineStr">
        <is>
          <t>ORG</t>
        </is>
      </c>
      <c r="D13" s="25" t="inlineStr">
        <is>
          <t>Segregation of Duties and Responsibilities</t>
        </is>
      </c>
      <c r="E13" s="25" t="inlineStr">
        <is>
          <t>Assess 2 mandatory requirement(s)</t>
        </is>
      </c>
      <c r="F13" s="25" t="inlineStr"/>
      <c r="G13" s="25" t="inlineStr"/>
      <c r="H13" s="25" t="inlineStr"/>
      <c r="I13" s="25" t="inlineStr"/>
      <c r="J13" s="25" t="inlineStr"/>
      <c r="K13" s="25" t="inlineStr"/>
      <c r="L13" s="25" t="inlineStr"/>
      <c r="M13" s="26" t="inlineStr"/>
      <c r="N13" s="26" t="inlineStr"/>
    </row>
    <row r="14">
      <c r="A14" s="7" t="inlineStr">
        <is>
          <t>15.2.1.1</t>
        </is>
      </c>
      <c r="B14" s="7" t="inlineStr">
        <is>
          <t>NACSA-15.2.1a</t>
        </is>
      </c>
      <c r="C14" s="7" t="inlineStr"/>
      <c r="D14" s="7" t="inlineStr"/>
      <c r="E14" s="7" t="inlineStr">
        <is>
          <t>The NCII entity shall segregate the duties and responsibilities of employees based on their roles.</t>
        </is>
      </c>
      <c r="F14" s="7" t="inlineStr">
        <is>
          <t>1. Request the SoD matrix defining incompatible roles.
2. Sample 10 user accounts — check against SoD matrix for conflicts.
3. For any conflicts identified, verify documented compensating controls.
4. Confirm SoD is reviewed at least annually.</t>
        </is>
      </c>
      <c r="G14" s="7" t="inlineStr">
        <is>
          <t>Relevant policy/procedure; Implementation evidence; Review/monitoring records</t>
        </is>
      </c>
      <c r="H14" s="7" t="inlineStr">
        <is>
          <t>Inspection</t>
        </is>
      </c>
      <c r="I14" s="7" t="inlineStr"/>
      <c r="J14" s="7" t="inlineStr"/>
      <c r="K14" s="7" t="inlineStr"/>
      <c r="L14" s="7" t="inlineStr"/>
      <c r="M14" s="7" t="inlineStr"/>
      <c r="N14" s="7" t="inlineStr"/>
    </row>
    <row r="15">
      <c r="A15" s="28" t="inlineStr">
        <is>
          <t>15.2.1.2</t>
        </is>
      </c>
      <c r="B15" s="28" t="inlineStr">
        <is>
          <t>NACSA-15.2.1b</t>
        </is>
      </c>
      <c r="C15" s="28" t="inlineStr"/>
      <c r="D15" s="28" t="inlineStr"/>
      <c r="E15" s="28" t="inlineStr">
        <is>
          <t>Duties and responsibilities shall be segregated to:
- Minimise the risk of unauthorised or fraudulent activities.
- Avoi...</t>
        </is>
      </c>
      <c r="F15" s="28" t="inlineStr">
        <is>
          <t>1. Request the SoD matrix defining incompatible roles.
2. Sample 10 user accounts — check against SoD matrix for conflicts.
3. For any conflicts identified, verify documented compensating controls.
4. Confirm SoD is reviewed at least annually.</t>
        </is>
      </c>
      <c r="G15" s="28" t="inlineStr">
        <is>
          <t>Relevant policy/procedure; Implementation evidence; Review/monitoring records</t>
        </is>
      </c>
      <c r="H15" s="28" t="inlineStr">
        <is>
          <t>Inspection</t>
        </is>
      </c>
      <c r="I15" s="28" t="inlineStr"/>
      <c r="J15" s="28" t="inlineStr"/>
      <c r="K15" s="28" t="inlineStr"/>
      <c r="L15" s="28" t="inlineStr"/>
      <c r="M15" s="28" t="inlineStr"/>
      <c r="N15" s="28" t="inlineStr"/>
    </row>
    <row r="16">
      <c r="A16" s="25" t="inlineStr">
        <is>
          <t>15.2.2</t>
        </is>
      </c>
      <c r="B16" s="25" t="inlineStr">
        <is>
          <t>NACSA-15.2.2</t>
        </is>
      </c>
      <c r="C16" s="25" t="inlineStr">
        <is>
          <t>ORG</t>
        </is>
      </c>
      <c r="D16" s="25" t="inlineStr">
        <is>
          <t>Defined Roles and Provision</t>
        </is>
      </c>
      <c r="E16" s="25" t="inlineStr">
        <is>
          <t>Assess 2 mandatory requirement(s)</t>
        </is>
      </c>
      <c r="F16" s="25" t="inlineStr"/>
      <c r="G16" s="25" t="inlineStr"/>
      <c r="H16" s="25" t="inlineStr"/>
      <c r="I16" s="25" t="inlineStr"/>
      <c r="J16" s="25" t="inlineStr"/>
      <c r="K16" s="25" t="inlineStr"/>
      <c r="L16" s="25" t="inlineStr"/>
      <c r="M16" s="26" t="inlineStr"/>
      <c r="N16" s="26" t="inlineStr"/>
    </row>
    <row r="17">
      <c r="A17" s="7" t="inlineStr">
        <is>
          <t>15.2.2.1</t>
        </is>
      </c>
      <c r="B17" s="7" t="inlineStr">
        <is>
          <t>NACSA-15.2.2a</t>
        </is>
      </c>
      <c r="C17" s="7" t="inlineStr"/>
      <c r="D17" s="7" t="inlineStr"/>
      <c r="E17" s="7" t="inlineStr">
        <is>
          <t>The NCII entity shall clearly define provision roles and responsibilities to ensure:
- Employees are granted appropriate...</t>
        </is>
      </c>
      <c r="F17" s="7" t="inlineStr">
        <is>
          <t>1. Request evidence of communication to relevant stakeholders.
2. Verify communication method is appropriate (training, intranet, briefings).
3. Sample 10 staff — confirm acknowledgement/receipt of communication.
4. Confirm communication is current (reflects latest version).</t>
        </is>
      </c>
      <c r="G17" s="7" t="inlineStr">
        <is>
          <t>Communication records; Staff acknowledgement samples; Intranet/portal screenshots</t>
        </is>
      </c>
      <c r="H17" s="7" t="inlineStr">
        <is>
          <t>Inspection / Inquiry</t>
        </is>
      </c>
      <c r="I17" s="7" t="inlineStr"/>
      <c r="J17" s="7" t="inlineStr"/>
      <c r="K17" s="7" t="inlineStr"/>
      <c r="L17" s="7" t="inlineStr"/>
      <c r="M17" s="7" t="inlineStr"/>
      <c r="N17" s="7" t="inlineStr"/>
    </row>
    <row r="18">
      <c r="A18" s="28" t="inlineStr">
        <is>
          <t>15.2.2.2</t>
        </is>
      </c>
      <c r="B18" s="28" t="inlineStr">
        <is>
          <t>NACSA-15.2.2b</t>
        </is>
      </c>
      <c r="C18" s="28" t="inlineStr"/>
      <c r="D18" s="28" t="inlineStr"/>
      <c r="E18" s="28" t="inlineStr">
        <is>
          <t>Roles shall be mapped to business processes, and any discrepancies in access provisioning shall be promptly identified a...</t>
        </is>
      </c>
      <c r="F18" s="28"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15.2.2.2.</t>
        </is>
      </c>
      <c r="G18" s="28" t="inlineStr">
        <is>
          <t>Relevant policy/procedure; Implementation evidence; Review/monitoring records</t>
        </is>
      </c>
      <c r="H18" s="28" t="inlineStr">
        <is>
          <t>Inspection</t>
        </is>
      </c>
      <c r="I18" s="28" t="inlineStr"/>
      <c r="J18" s="28" t="inlineStr"/>
      <c r="K18" s="28" t="inlineStr"/>
      <c r="L18" s="28" t="inlineStr"/>
      <c r="M18" s="28" t="inlineStr"/>
      <c r="N18" s="28" t="inlineStr"/>
    </row>
    <row r="19">
      <c r="A19" s="25" t="inlineStr">
        <is>
          <t>15.2.3</t>
        </is>
      </c>
      <c r="B19" s="25" t="inlineStr">
        <is>
          <t>NACSA-15.2.3</t>
        </is>
      </c>
      <c r="C19" s="25" t="inlineStr">
        <is>
          <t>ORG</t>
        </is>
      </c>
      <c r="D19" s="25" t="inlineStr">
        <is>
          <t>Review of Duties and Responsibilities</t>
        </is>
      </c>
      <c r="E19" s="25" t="inlineStr">
        <is>
          <t>Assess 1 mandatory requirement(s)</t>
        </is>
      </c>
      <c r="F19" s="25" t="inlineStr"/>
      <c r="G19" s="25" t="inlineStr"/>
      <c r="H19" s="25" t="inlineStr"/>
      <c r="I19" s="25" t="inlineStr"/>
      <c r="J19" s="25" t="inlineStr"/>
      <c r="K19" s="25" t="inlineStr"/>
      <c r="L19" s="25" t="inlineStr"/>
      <c r="M19" s="26" t="inlineStr"/>
      <c r="N19" s="26" t="inlineStr"/>
    </row>
    <row r="20">
      <c r="A20" s="7" t="inlineStr">
        <is>
          <t>15.2.3.1</t>
        </is>
      </c>
      <c r="B20" s="7" t="inlineStr">
        <is>
          <t>NACSA-15.2.3a</t>
        </is>
      </c>
      <c r="C20" s="7" t="inlineStr"/>
      <c r="D20" s="7" t="inlineStr"/>
      <c r="E20" s="7" t="inlineStr">
        <is>
          <t>Segregation of duties shall be reviewed annually, as part of access control audits, and / or whenever there are organisa...</t>
        </is>
      </c>
      <c r="F20" s="7"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20" s="7" t="inlineStr">
        <is>
          <t>Review report/minutes; Updated document post-review; Approval of changes</t>
        </is>
      </c>
      <c r="H20" s="7" t="inlineStr">
        <is>
          <t>Inspection</t>
        </is>
      </c>
      <c r="I20" s="7" t="inlineStr"/>
      <c r="J20" s="7" t="inlineStr"/>
      <c r="K20" s="7" t="inlineStr"/>
      <c r="L20" s="7" t="inlineStr"/>
      <c r="M20" s="7" t="inlineStr"/>
      <c r="N20" s="7" t="inlineStr"/>
    </row>
    <row r="21"/>
    <row r="22">
      <c r="A22" s="21" t="inlineStr">
        <is>
          <t>CoP 15.0 — Access Control (System-Level: per NCII system)</t>
        </is>
      </c>
      <c r="B22" s="38" t="n"/>
      <c r="C22" s="38" t="n"/>
      <c r="D22" s="38" t="n"/>
      <c r="E22" s="38" t="n"/>
      <c r="F22" s="38" t="n"/>
      <c r="G22" s="38" t="n"/>
      <c r="H22" s="38" t="n"/>
      <c r="I22" s="38" t="n"/>
      <c r="J22" s="38" t="n"/>
      <c r="K22" s="38" t="n"/>
      <c r="L22" s="38" t="n"/>
      <c r="M22" s="38" t="n"/>
      <c r="N22" s="39" t="n"/>
    </row>
    <row r="23">
      <c r="A23" s="29" t="inlineStr">
        <is>
          <t>15.1.1</t>
        </is>
      </c>
      <c r="B23" s="29" t="inlineStr">
        <is>
          <t>NACSA-15.1.1-NCII-SYS-001</t>
        </is>
      </c>
      <c r="C23" s="29" t="inlineStr">
        <is>
          <t>SYSTEM</t>
        </is>
      </c>
      <c r="D23" s="29" t="inlineStr">
        <is>
          <t>Establishment of Identity and Access Management Procedures</t>
        </is>
      </c>
      <c r="E23" s="29" t="inlineStr">
        <is>
          <t>[System 1]: Assess 1 mandatory requirement(s)</t>
        </is>
      </c>
      <c r="F23" s="29" t="inlineStr"/>
      <c r="G23" s="29" t="inlineStr"/>
      <c r="H23" s="29" t="inlineStr"/>
      <c r="I23" s="29" t="inlineStr"/>
      <c r="J23" s="29" t="inlineStr"/>
      <c r="K23" s="29" t="inlineStr"/>
      <c r="L23" s="29" t="inlineStr"/>
      <c r="M23" s="26" t="inlineStr"/>
      <c r="N23" s="26" t="inlineStr"/>
    </row>
    <row r="24">
      <c r="A24" s="28" t="inlineStr">
        <is>
          <t>15.1.1.1</t>
        </is>
      </c>
      <c r="B24" s="28" t="inlineStr">
        <is>
          <t>NACSA-15.1.1a-NCII-SYS-001</t>
        </is>
      </c>
      <c r="C24" s="28" t="inlineStr"/>
      <c r="D24" s="28" t="inlineStr"/>
      <c r="E24" s="28" t="inlineStr">
        <is>
          <t>[System 1]: The NCII entity shall define and implement an Identity and Access Management (IAM) procedure that in...</t>
        </is>
      </c>
      <c r="F24" s="28" t="inlineStr">
        <is>
          <t>1. Request configuration documentation for the control.
2. Verify deployment covers all NCII network segments.
3. Review rule base/configuration for least-privilege and best practice.
4. Check for regular review and update of configurations.</t>
        </is>
      </c>
      <c r="G24" s="28" t="inlineStr">
        <is>
          <t>Configuration documentation; Rule base export; Review records; Network diagram</t>
        </is>
      </c>
      <c r="H24" s="28" t="inlineStr">
        <is>
          <t>Inspection</t>
        </is>
      </c>
      <c r="I24" s="28" t="inlineStr"/>
      <c r="J24" s="28" t="inlineStr"/>
      <c r="K24" s="28" t="inlineStr"/>
      <c r="L24" s="28" t="inlineStr"/>
      <c r="M24" s="28" t="inlineStr"/>
      <c r="N24" s="28" t="inlineStr"/>
    </row>
    <row r="25">
      <c r="A25" s="29" t="inlineStr">
        <is>
          <t>15.1.1</t>
        </is>
      </c>
      <c r="B25" s="29" t="inlineStr">
        <is>
          <t>NACSA-15.1.1-NCII-SYS-002</t>
        </is>
      </c>
      <c r="C25" s="29" t="inlineStr">
        <is>
          <t>SYSTEM</t>
        </is>
      </c>
      <c r="D25" s="29" t="inlineStr">
        <is>
          <t>Establishment of Identity and Access Management Procedures</t>
        </is>
      </c>
      <c r="E25" s="29" t="inlineStr">
        <is>
          <t>[System 2]: Assess 1 mandatory requirement(s)</t>
        </is>
      </c>
      <c r="F25" s="29" t="inlineStr"/>
      <c r="G25" s="29" t="inlineStr"/>
      <c r="H25" s="29" t="inlineStr"/>
      <c r="I25" s="29" t="inlineStr"/>
      <c r="J25" s="29" t="inlineStr"/>
      <c r="K25" s="29" t="inlineStr"/>
      <c r="L25" s="29" t="inlineStr"/>
      <c r="M25" s="26" t="inlineStr"/>
      <c r="N25" s="26" t="inlineStr"/>
    </row>
    <row r="26">
      <c r="A26" s="7" t="inlineStr">
        <is>
          <t>15.1.1.1</t>
        </is>
      </c>
      <c r="B26" s="7" t="inlineStr">
        <is>
          <t>NACSA-15.1.1a-NCII-SYS-002</t>
        </is>
      </c>
      <c r="C26" s="7" t="inlineStr"/>
      <c r="D26" s="7" t="inlineStr"/>
      <c r="E26" s="7" t="inlineStr">
        <is>
          <t>[System 2]: The NCII entity shall define and implement an Identity and Access Management (IAM) procedure that in...</t>
        </is>
      </c>
      <c r="F26" s="7" t="inlineStr">
        <is>
          <t>1. Request configuration documentation for the control.
2. Verify deployment covers all NCII network segments.
3. Review rule base/configuration for least-privilege and best practice.
4. Check for regular review and update of configurations.</t>
        </is>
      </c>
      <c r="G26" s="7" t="inlineStr">
        <is>
          <t>Configuration documentation; Rule base export; Review records; Network diagram</t>
        </is>
      </c>
      <c r="H26" s="7" t="inlineStr">
        <is>
          <t>Inspection</t>
        </is>
      </c>
      <c r="I26" s="7" t="inlineStr"/>
      <c r="J26" s="7" t="inlineStr"/>
      <c r="K26" s="7" t="inlineStr"/>
      <c r="L26" s="7" t="inlineStr"/>
      <c r="M26" s="7" t="inlineStr"/>
      <c r="N26" s="7" t="inlineStr"/>
    </row>
    <row r="27">
      <c r="A27" s="29" t="inlineStr">
        <is>
          <t>15.1.1</t>
        </is>
      </c>
      <c r="B27" s="29" t="inlineStr">
        <is>
          <t>NACSA-15.1.1-NCII-SYS-003</t>
        </is>
      </c>
      <c r="C27" s="29" t="inlineStr">
        <is>
          <t>SYSTEM</t>
        </is>
      </c>
      <c r="D27" s="29" t="inlineStr">
        <is>
          <t>Establishment of Identity and Access Management Procedures</t>
        </is>
      </c>
      <c r="E27" s="29" t="inlineStr">
        <is>
          <t>[System 3]: Assess 1 mandatory requirement(s)</t>
        </is>
      </c>
      <c r="F27" s="29" t="inlineStr"/>
      <c r="G27" s="29" t="inlineStr"/>
      <c r="H27" s="29" t="inlineStr"/>
      <c r="I27" s="29" t="inlineStr"/>
      <c r="J27" s="29" t="inlineStr"/>
      <c r="K27" s="29" t="inlineStr"/>
      <c r="L27" s="29" t="inlineStr"/>
      <c r="M27" s="26" t="inlineStr"/>
      <c r="N27" s="26" t="inlineStr"/>
    </row>
    <row r="28">
      <c r="A28" s="28" t="inlineStr">
        <is>
          <t>15.1.1.1</t>
        </is>
      </c>
      <c r="B28" s="28" t="inlineStr">
        <is>
          <t>NACSA-15.1.1a-NCII-SYS-003</t>
        </is>
      </c>
      <c r="C28" s="28" t="inlineStr"/>
      <c r="D28" s="28" t="inlineStr"/>
      <c r="E28" s="28" t="inlineStr">
        <is>
          <t>[System 3]: The NCII entity shall define and implement an Identity and Access Management (IAM) procedure that in...</t>
        </is>
      </c>
      <c r="F28" s="28" t="inlineStr">
        <is>
          <t>1. Request configuration documentation for the control.
2. Verify deployment covers all NCII network segments.
3. Review rule base/configuration for least-privilege and best practice.
4. Check for regular review and update of configurations.</t>
        </is>
      </c>
      <c r="G28" s="28" t="inlineStr">
        <is>
          <t>Configuration documentation; Rule base export; Review records; Network diagram</t>
        </is>
      </c>
      <c r="H28" s="28" t="inlineStr">
        <is>
          <t>Inspection</t>
        </is>
      </c>
      <c r="I28" s="28" t="inlineStr"/>
      <c r="J28" s="28" t="inlineStr"/>
      <c r="K28" s="28" t="inlineStr"/>
      <c r="L28" s="28" t="inlineStr"/>
      <c r="M28" s="28" t="inlineStr"/>
      <c r="N28" s="28" t="inlineStr"/>
    </row>
    <row r="29">
      <c r="A29" s="29" t="inlineStr">
        <is>
          <t>15.3.1</t>
        </is>
      </c>
      <c r="B29" s="29" t="inlineStr">
        <is>
          <t>NACSA-15.3.1-NCII-SYS-001</t>
        </is>
      </c>
      <c r="C29" s="29" t="inlineStr">
        <is>
          <t>SYSTEM</t>
        </is>
      </c>
      <c r="D29" s="29" t="inlineStr">
        <is>
          <t>Establishment of Password Management System (PMS)</t>
        </is>
      </c>
      <c r="E29" s="29" t="inlineStr">
        <is>
          <t>[System 1]: Assess 1 mandatory requirement(s)</t>
        </is>
      </c>
      <c r="F29" s="29" t="inlineStr"/>
      <c r="G29" s="29" t="inlineStr"/>
      <c r="H29" s="29" t="inlineStr"/>
      <c r="I29" s="29" t="inlineStr"/>
      <c r="J29" s="29" t="inlineStr"/>
      <c r="K29" s="29" t="inlineStr"/>
      <c r="L29" s="29" t="inlineStr"/>
      <c r="M29" s="26" t="inlineStr"/>
      <c r="N29" s="26" t="inlineStr"/>
    </row>
    <row r="30">
      <c r="A30" s="7" t="inlineStr">
        <is>
          <t>15.3.1.1</t>
        </is>
      </c>
      <c r="B30" s="7" t="inlineStr">
        <is>
          <t>NACSA-15.3.1a-NCII-SYS-001</t>
        </is>
      </c>
      <c r="C30" s="7" t="inlineStr"/>
      <c r="D30" s="7" t="inlineStr"/>
      <c r="E30" s="7" t="inlineStr">
        <is>
          <t>[System 1]: The NCII entity shall establish a PMS by:
- Enforcing password policies, including length, complexit...</t>
        </is>
      </c>
      <c r="F30" s="7" t="inlineStr">
        <is>
          <t>1. Request the password policy document.
2. Verify technical enforcement of password complexity, rotation, and lockout settings on 3 NCII systems.
3. Check for default or shared accounts on sampled systems.
4. Confirm password policy aligns with current best practices (e.g., NIST SP 800-63B).</t>
        </is>
      </c>
      <c r="G30" s="7" t="inlineStr">
        <is>
          <t>Approved policy/procedure document; Committee approval record; Version history</t>
        </is>
      </c>
      <c r="H30" s="7" t="inlineStr">
        <is>
          <t>Inspection</t>
        </is>
      </c>
      <c r="I30" s="7" t="inlineStr"/>
      <c r="J30" s="7" t="inlineStr"/>
      <c r="K30" s="7" t="inlineStr"/>
      <c r="L30" s="7" t="inlineStr"/>
      <c r="M30" s="7" t="inlineStr"/>
      <c r="N30" s="7" t="inlineStr"/>
    </row>
    <row r="31">
      <c r="A31" s="29" t="inlineStr">
        <is>
          <t>15.3.1</t>
        </is>
      </c>
      <c r="B31" s="29" t="inlineStr">
        <is>
          <t>NACSA-15.3.1-NCII-SYS-002</t>
        </is>
      </c>
      <c r="C31" s="29" t="inlineStr">
        <is>
          <t>SYSTEM</t>
        </is>
      </c>
      <c r="D31" s="29" t="inlineStr">
        <is>
          <t>Establishment of Password Management System (PMS)</t>
        </is>
      </c>
      <c r="E31" s="29" t="inlineStr">
        <is>
          <t>[System 2]: Assess 1 mandatory requirement(s)</t>
        </is>
      </c>
      <c r="F31" s="29" t="inlineStr"/>
      <c r="G31" s="29" t="inlineStr"/>
      <c r="H31" s="29" t="inlineStr"/>
      <c r="I31" s="29" t="inlineStr"/>
      <c r="J31" s="29" t="inlineStr"/>
      <c r="K31" s="29" t="inlineStr"/>
      <c r="L31" s="29" t="inlineStr"/>
      <c r="M31" s="26" t="inlineStr"/>
      <c r="N31" s="26" t="inlineStr"/>
    </row>
    <row r="32">
      <c r="A32" s="28" t="inlineStr">
        <is>
          <t>15.3.1.1</t>
        </is>
      </c>
      <c r="B32" s="28" t="inlineStr">
        <is>
          <t>NACSA-15.3.1a-NCII-SYS-002</t>
        </is>
      </c>
      <c r="C32" s="28" t="inlineStr"/>
      <c r="D32" s="28" t="inlineStr"/>
      <c r="E32" s="28" t="inlineStr">
        <is>
          <t>[System 2]: The NCII entity shall establish a PMS by:
- Enforcing password policies, including length, complexit...</t>
        </is>
      </c>
      <c r="F32" s="28" t="inlineStr">
        <is>
          <t>1. Request the password policy document.
2. Verify technical enforcement of password complexity, rotation, and lockout settings on 3 NCII systems.
3. Check for default or shared accounts on sampled systems.
4. Confirm password policy aligns with current best practices (e.g., NIST SP 800-63B).</t>
        </is>
      </c>
      <c r="G32" s="28" t="inlineStr">
        <is>
          <t>Approved policy/procedure document; Committee approval record; Version history</t>
        </is>
      </c>
      <c r="H32" s="28" t="inlineStr">
        <is>
          <t>Inspection</t>
        </is>
      </c>
      <c r="I32" s="28" t="inlineStr"/>
      <c r="J32" s="28" t="inlineStr"/>
      <c r="K32" s="28" t="inlineStr"/>
      <c r="L32" s="28" t="inlineStr"/>
      <c r="M32" s="28" t="inlineStr"/>
      <c r="N32" s="28" t="inlineStr"/>
    </row>
    <row r="33">
      <c r="A33" s="29" t="inlineStr">
        <is>
          <t>15.3.1</t>
        </is>
      </c>
      <c r="B33" s="29" t="inlineStr">
        <is>
          <t>NACSA-15.3.1-NCII-SYS-003</t>
        </is>
      </c>
      <c r="C33" s="29" t="inlineStr">
        <is>
          <t>SYSTEM</t>
        </is>
      </c>
      <c r="D33" s="29" t="inlineStr">
        <is>
          <t>Establishment of Password Management System (PMS)</t>
        </is>
      </c>
      <c r="E33" s="29" t="inlineStr">
        <is>
          <t>[System 3]: Assess 1 mandatory requirement(s)</t>
        </is>
      </c>
      <c r="F33" s="29" t="inlineStr"/>
      <c r="G33" s="29" t="inlineStr"/>
      <c r="H33" s="29" t="inlineStr"/>
      <c r="I33" s="29" t="inlineStr"/>
      <c r="J33" s="29" t="inlineStr"/>
      <c r="K33" s="29" t="inlineStr"/>
      <c r="L33" s="29" t="inlineStr"/>
      <c r="M33" s="26" t="inlineStr"/>
      <c r="N33" s="26" t="inlineStr"/>
    </row>
    <row r="34">
      <c r="A34" s="7" t="inlineStr">
        <is>
          <t>15.3.1.1</t>
        </is>
      </c>
      <c r="B34" s="7" t="inlineStr">
        <is>
          <t>NACSA-15.3.1a-NCII-SYS-003</t>
        </is>
      </c>
      <c r="C34" s="7" t="inlineStr"/>
      <c r="D34" s="7" t="inlineStr"/>
      <c r="E34" s="7" t="inlineStr">
        <is>
          <t>[System 3]: The NCII entity shall establish a PMS by:
- Enforcing password policies, including length, complexit...</t>
        </is>
      </c>
      <c r="F34" s="7" t="inlineStr">
        <is>
          <t>1. Request the password policy document.
2. Verify technical enforcement of password complexity, rotation, and lockout settings on 3 NCII systems.
3. Check for default or shared accounts on sampled systems.
4. Confirm password policy aligns with current best practices (e.g., NIST SP 800-63B).</t>
        </is>
      </c>
      <c r="G34" s="7" t="inlineStr">
        <is>
          <t>Approved policy/procedure document; Committee approval record; Version history</t>
        </is>
      </c>
      <c r="H34" s="7" t="inlineStr">
        <is>
          <t>Inspection</t>
        </is>
      </c>
      <c r="I34" s="7" t="inlineStr"/>
      <c r="J34" s="7" t="inlineStr"/>
      <c r="K34" s="7" t="inlineStr"/>
      <c r="L34" s="7" t="inlineStr"/>
      <c r="M34" s="7" t="inlineStr"/>
      <c r="N34" s="7" t="inlineStr"/>
    </row>
    <row r="35">
      <c r="A35" s="29" t="inlineStr">
        <is>
          <t>15.3.2</t>
        </is>
      </c>
      <c r="B35" s="29" t="inlineStr">
        <is>
          <t>NACSA-15.3.2-NCII-SYS-001</t>
        </is>
      </c>
      <c r="C35" s="29" t="inlineStr">
        <is>
          <t>SYSTEM</t>
        </is>
      </c>
      <c r="D35" s="29" t="inlineStr">
        <is>
          <t>Alignment with Best Practices</t>
        </is>
      </c>
      <c r="E35" s="29" t="inlineStr">
        <is>
          <t>[System 1]: Assess 1 mandatory requirement(s)</t>
        </is>
      </c>
      <c r="F35" s="29" t="inlineStr"/>
      <c r="G35" s="29" t="inlineStr"/>
      <c r="H35" s="29" t="inlineStr"/>
      <c r="I35" s="29" t="inlineStr"/>
      <c r="J35" s="29" t="inlineStr"/>
      <c r="K35" s="29" t="inlineStr"/>
      <c r="L35" s="29" t="inlineStr"/>
      <c r="M35" s="26" t="inlineStr"/>
      <c r="N35" s="26" t="inlineStr"/>
    </row>
    <row r="36">
      <c r="A36" s="28" t="inlineStr">
        <is>
          <t>15.3.2.1</t>
        </is>
      </c>
      <c r="B36" s="28" t="inlineStr">
        <is>
          <t>NACSA-15.3.2a-NCII-SYS-001</t>
        </is>
      </c>
      <c r="C36" s="28" t="inlineStr"/>
      <c r="D36" s="28" t="inlineStr"/>
      <c r="E36" s="28" t="inlineStr">
        <is>
          <t>[System 1]: The PMS shall adhere to best practices, such as:
- Requiring passwords to include a mix of uppercase...</t>
        </is>
      </c>
      <c r="F36" s="28" t="inlineStr">
        <is>
          <t>1. Request the IAM/access control procedure.
2. Verify MFA deployment on NCII system access.
3. Sample 15 user accounts — verify access rights match job roles.
4. Check access review records (quarterly for privileged, semi-annually for standard).</t>
        </is>
      </c>
      <c r="G36" s="28" t="inlineStr">
        <is>
          <t>IAM procedure; MFA deployment evidence; User access sample; Access review records</t>
        </is>
      </c>
      <c r="H36" s="28" t="inlineStr">
        <is>
          <t>Inspection</t>
        </is>
      </c>
      <c r="I36" s="28" t="inlineStr"/>
      <c r="J36" s="28" t="inlineStr"/>
      <c r="K36" s="28" t="inlineStr"/>
      <c r="L36" s="28" t="inlineStr"/>
      <c r="M36" s="28" t="inlineStr"/>
      <c r="N36" s="28" t="inlineStr"/>
    </row>
    <row r="37">
      <c r="A37" s="29" t="inlineStr">
        <is>
          <t>15.3.2</t>
        </is>
      </c>
      <c r="B37" s="29" t="inlineStr">
        <is>
          <t>NACSA-15.3.2-NCII-SYS-002</t>
        </is>
      </c>
      <c r="C37" s="29" t="inlineStr">
        <is>
          <t>SYSTEM</t>
        </is>
      </c>
      <c r="D37" s="29" t="inlineStr">
        <is>
          <t>Alignment with Best Practices</t>
        </is>
      </c>
      <c r="E37" s="29" t="inlineStr">
        <is>
          <t>[System 2]: Assess 1 mandatory requirement(s)</t>
        </is>
      </c>
      <c r="F37" s="29" t="inlineStr"/>
      <c r="G37" s="29" t="inlineStr"/>
      <c r="H37" s="29" t="inlineStr"/>
      <c r="I37" s="29" t="inlineStr"/>
      <c r="J37" s="29" t="inlineStr"/>
      <c r="K37" s="29" t="inlineStr"/>
      <c r="L37" s="29" t="inlineStr"/>
      <c r="M37" s="26" t="inlineStr"/>
      <c r="N37" s="26" t="inlineStr"/>
    </row>
    <row r="38">
      <c r="A38" s="7" t="inlineStr">
        <is>
          <t>15.3.2.1</t>
        </is>
      </c>
      <c r="B38" s="7" t="inlineStr">
        <is>
          <t>NACSA-15.3.2a-NCII-SYS-002</t>
        </is>
      </c>
      <c r="C38" s="7" t="inlineStr"/>
      <c r="D38" s="7" t="inlineStr"/>
      <c r="E38" s="7" t="inlineStr">
        <is>
          <t>[System 2]: The PMS shall adhere to best practices, such as:
- Requiring passwords to include a mix of uppercase...</t>
        </is>
      </c>
      <c r="F38" s="7" t="inlineStr">
        <is>
          <t>1. Request the IAM/access control procedure.
2. Verify MFA deployment on NCII system access.
3. Sample 15 user accounts — verify access rights match job roles.
4. Check access review records (quarterly for privileged, semi-annually for standard).</t>
        </is>
      </c>
      <c r="G38" s="7" t="inlineStr">
        <is>
          <t>IAM procedure; MFA deployment evidence; User access sample; Access review records</t>
        </is>
      </c>
      <c r="H38" s="7" t="inlineStr">
        <is>
          <t>Inspection</t>
        </is>
      </c>
      <c r="I38" s="7" t="inlineStr"/>
      <c r="J38" s="7" t="inlineStr"/>
      <c r="K38" s="7" t="inlineStr"/>
      <c r="L38" s="7" t="inlineStr"/>
      <c r="M38" s="7" t="inlineStr"/>
      <c r="N38" s="7" t="inlineStr"/>
    </row>
    <row r="39">
      <c r="A39" s="29" t="inlineStr">
        <is>
          <t>15.3.2</t>
        </is>
      </c>
      <c r="B39" s="29" t="inlineStr">
        <is>
          <t>NACSA-15.3.2-NCII-SYS-003</t>
        </is>
      </c>
      <c r="C39" s="29" t="inlineStr">
        <is>
          <t>SYSTEM</t>
        </is>
      </c>
      <c r="D39" s="29" t="inlineStr">
        <is>
          <t>Alignment with Best Practices</t>
        </is>
      </c>
      <c r="E39" s="29" t="inlineStr">
        <is>
          <t>[System 3]: Assess 1 mandatory requirement(s)</t>
        </is>
      </c>
      <c r="F39" s="29" t="inlineStr"/>
      <c r="G39" s="29" t="inlineStr"/>
      <c r="H39" s="29" t="inlineStr"/>
      <c r="I39" s="29" t="inlineStr"/>
      <c r="J39" s="29" t="inlineStr"/>
      <c r="K39" s="29" t="inlineStr"/>
      <c r="L39" s="29" t="inlineStr"/>
      <c r="M39" s="26" t="inlineStr"/>
      <c r="N39" s="26" t="inlineStr"/>
    </row>
    <row r="40">
      <c r="A40" s="28" t="inlineStr">
        <is>
          <t>15.3.2.1</t>
        </is>
      </c>
      <c r="B40" s="28" t="inlineStr">
        <is>
          <t>NACSA-15.3.2a-NCII-SYS-003</t>
        </is>
      </c>
      <c r="C40" s="28" t="inlineStr"/>
      <c r="D40" s="28" t="inlineStr"/>
      <c r="E40" s="28" t="inlineStr">
        <is>
          <t>[System 3]: The PMS shall adhere to best practices, such as:
- Requiring passwords to include a mix of uppercase...</t>
        </is>
      </c>
      <c r="F40" s="28" t="inlineStr">
        <is>
          <t>1. Request the IAM/access control procedure.
2. Verify MFA deployment on NCII system access.
3. Sample 15 user accounts — verify access rights match job roles.
4. Check access review records (quarterly for privileged, semi-annually for standard).</t>
        </is>
      </c>
      <c r="G40" s="28" t="inlineStr">
        <is>
          <t>IAM procedure; MFA deployment evidence; User access sample; Access review records</t>
        </is>
      </c>
      <c r="H40" s="28" t="inlineStr">
        <is>
          <t>Inspection</t>
        </is>
      </c>
      <c r="I40" s="28" t="inlineStr"/>
      <c r="J40" s="28" t="inlineStr"/>
      <c r="K40" s="28" t="inlineStr"/>
      <c r="L40" s="28" t="inlineStr"/>
      <c r="M40" s="28" t="inlineStr"/>
      <c r="N40" s="28" t="inlineStr"/>
    </row>
    <row r="41">
      <c r="A41" s="29" t="inlineStr">
        <is>
          <t>15.3.3</t>
        </is>
      </c>
      <c r="B41" s="29" t="inlineStr">
        <is>
          <t>NACSA-15.3.3-NCII-SYS-001</t>
        </is>
      </c>
      <c r="C41" s="29" t="inlineStr">
        <is>
          <t>SYSTEM</t>
        </is>
      </c>
      <c r="D41" s="29" t="inlineStr">
        <is>
          <t>Compliance Monitoring</t>
        </is>
      </c>
      <c r="E41" s="29" t="inlineStr">
        <is>
          <t>[System 1]: Assess 1 mandatory requirement(s)</t>
        </is>
      </c>
      <c r="F41" s="29" t="inlineStr"/>
      <c r="G41" s="29" t="inlineStr"/>
      <c r="H41" s="29" t="inlineStr"/>
      <c r="I41" s="29" t="inlineStr"/>
      <c r="J41" s="29" t="inlineStr"/>
      <c r="K41" s="29" t="inlineStr"/>
      <c r="L41" s="29" t="inlineStr"/>
      <c r="M41" s="26" t="inlineStr"/>
      <c r="N41" s="26" t="inlineStr"/>
    </row>
    <row r="42">
      <c r="A42" s="7" t="inlineStr">
        <is>
          <t>15.3.3.1</t>
        </is>
      </c>
      <c r="B42" s="7" t="inlineStr">
        <is>
          <t>NACSA-15.3.3a-NCII-SYS-001</t>
        </is>
      </c>
      <c r="C42" s="7" t="inlineStr"/>
      <c r="D42" s="7" t="inlineStr"/>
      <c r="E42" s="7" t="inlineStr">
        <is>
          <t>[System 1]: Compliance with password policies shall be monitored by:
- Conducting regular audits of user account...</t>
        </is>
      </c>
      <c r="F42" s="7" t="inlineStr">
        <is>
          <t>1. Request compliance monitoring reports for the last 12 months.
2. Verify monitoring covers all applicable requirements (not just a subset).
3. Check that non-compliance items are tracked with remediation owners and timelines.
4. Confirm results are reported to the governance committee.</t>
        </is>
      </c>
      <c r="G42" s="7" t="inlineStr">
        <is>
          <t>Approved policy/procedure document; Committee approval record; Version history</t>
        </is>
      </c>
      <c r="H42" s="7" t="inlineStr">
        <is>
          <t>Inspection</t>
        </is>
      </c>
      <c r="I42" s="7" t="inlineStr"/>
      <c r="J42" s="7" t="inlineStr"/>
      <c r="K42" s="7" t="inlineStr"/>
      <c r="L42" s="7" t="inlineStr"/>
      <c r="M42" s="7" t="inlineStr"/>
      <c r="N42" s="7" t="inlineStr"/>
    </row>
    <row r="43">
      <c r="A43" s="29" t="inlineStr">
        <is>
          <t>15.3.3</t>
        </is>
      </c>
      <c r="B43" s="29" t="inlineStr">
        <is>
          <t>NACSA-15.3.3-NCII-SYS-002</t>
        </is>
      </c>
      <c r="C43" s="29" t="inlineStr">
        <is>
          <t>SYSTEM</t>
        </is>
      </c>
      <c r="D43" s="29" t="inlineStr">
        <is>
          <t>Compliance Monitoring</t>
        </is>
      </c>
      <c r="E43" s="29" t="inlineStr">
        <is>
          <t>[System 2]: Assess 1 mandatory requirement(s)</t>
        </is>
      </c>
      <c r="F43" s="29" t="inlineStr"/>
      <c r="G43" s="29" t="inlineStr"/>
      <c r="H43" s="29" t="inlineStr"/>
      <c r="I43" s="29" t="inlineStr"/>
      <c r="J43" s="29" t="inlineStr"/>
      <c r="K43" s="29" t="inlineStr"/>
      <c r="L43" s="29" t="inlineStr"/>
      <c r="M43" s="26" t="inlineStr"/>
      <c r="N43" s="26" t="inlineStr"/>
    </row>
    <row r="44">
      <c r="A44" s="28" t="inlineStr">
        <is>
          <t>15.3.3.1</t>
        </is>
      </c>
      <c r="B44" s="28" t="inlineStr">
        <is>
          <t>NACSA-15.3.3a-NCII-SYS-002</t>
        </is>
      </c>
      <c r="C44" s="28" t="inlineStr"/>
      <c r="D44" s="28" t="inlineStr"/>
      <c r="E44" s="28" t="inlineStr">
        <is>
          <t>[System 2]: Compliance with password policies shall be monitored by:
- Conducting regular audits of user account...</t>
        </is>
      </c>
      <c r="F44" s="28" t="inlineStr">
        <is>
          <t>1. Request compliance monitoring reports for the last 12 months.
2. Verify monitoring covers all applicable requirements (not just a subset).
3. Check that non-compliance items are tracked with remediation owners and timelines.
4. Confirm results are reported to the governance committee.</t>
        </is>
      </c>
      <c r="G44" s="28" t="inlineStr">
        <is>
          <t>Approved policy/procedure document; Committee approval record; Version history</t>
        </is>
      </c>
      <c r="H44" s="28" t="inlineStr">
        <is>
          <t>Inspection</t>
        </is>
      </c>
      <c r="I44" s="28" t="inlineStr"/>
      <c r="J44" s="28" t="inlineStr"/>
      <c r="K44" s="28" t="inlineStr"/>
      <c r="L44" s="28" t="inlineStr"/>
      <c r="M44" s="28" t="inlineStr"/>
      <c r="N44" s="28" t="inlineStr"/>
    </row>
    <row r="45">
      <c r="A45" s="29" t="inlineStr">
        <is>
          <t>15.3.3</t>
        </is>
      </c>
      <c r="B45" s="29" t="inlineStr">
        <is>
          <t>NACSA-15.3.3-NCII-SYS-003</t>
        </is>
      </c>
      <c r="C45" s="29" t="inlineStr">
        <is>
          <t>SYSTEM</t>
        </is>
      </c>
      <c r="D45" s="29" t="inlineStr">
        <is>
          <t>Compliance Monitoring</t>
        </is>
      </c>
      <c r="E45" s="29" t="inlineStr">
        <is>
          <t>[System 3]: Assess 1 mandatory requirement(s)</t>
        </is>
      </c>
      <c r="F45" s="29" t="inlineStr"/>
      <c r="G45" s="29" t="inlineStr"/>
      <c r="H45" s="29" t="inlineStr"/>
      <c r="I45" s="29" t="inlineStr"/>
      <c r="J45" s="29" t="inlineStr"/>
      <c r="K45" s="29" t="inlineStr"/>
      <c r="L45" s="29" t="inlineStr"/>
      <c r="M45" s="26" t="inlineStr"/>
      <c r="N45" s="26" t="inlineStr"/>
    </row>
    <row r="46">
      <c r="A46" s="7" t="inlineStr">
        <is>
          <t>15.3.3.1</t>
        </is>
      </c>
      <c r="B46" s="7" t="inlineStr">
        <is>
          <t>NACSA-15.3.3a-NCII-SYS-003</t>
        </is>
      </c>
      <c r="C46" s="7" t="inlineStr"/>
      <c r="D46" s="7" t="inlineStr"/>
      <c r="E46" s="7" t="inlineStr">
        <is>
          <t>[System 3]: Compliance with password policies shall be monitored by:
- Conducting regular audits of user account...</t>
        </is>
      </c>
      <c r="F46" s="7" t="inlineStr">
        <is>
          <t>1. Request compliance monitoring reports for the last 12 months.
2. Verify monitoring covers all applicable requirements (not just a subset).
3. Check that non-compliance items are tracked with remediation owners and timelines.
4. Confirm results are reported to the governance committee.</t>
        </is>
      </c>
      <c r="G46" s="7" t="inlineStr">
        <is>
          <t>Approved policy/procedure document; Committee approval record; Version history</t>
        </is>
      </c>
      <c r="H46" s="7" t="inlineStr">
        <is>
          <t>Inspection</t>
        </is>
      </c>
      <c r="I46" s="7" t="inlineStr"/>
      <c r="J46" s="7" t="inlineStr"/>
      <c r="K46" s="7" t="inlineStr"/>
      <c r="L46" s="7" t="inlineStr"/>
      <c r="M46" s="7" t="inlineStr"/>
      <c r="N46" s="7" t="inlineStr"/>
    </row>
    <row r="47">
      <c r="A47" s="29" t="inlineStr">
        <is>
          <t>15.3.4</t>
        </is>
      </c>
      <c r="B47" s="29" t="inlineStr">
        <is>
          <t>NACSA-15.3.4-NCII-SYS-001</t>
        </is>
      </c>
      <c r="C47" s="29" t="inlineStr">
        <is>
          <t>SYSTEM</t>
        </is>
      </c>
      <c r="D47" s="29" t="inlineStr">
        <is>
          <t>Review of Password Management System</t>
        </is>
      </c>
      <c r="E47" s="29" t="inlineStr">
        <is>
          <t>[System 1]: Assess 1 mandatory requirement(s)</t>
        </is>
      </c>
      <c r="F47" s="29" t="inlineStr"/>
      <c r="G47" s="29" t="inlineStr"/>
      <c r="H47" s="29" t="inlineStr"/>
      <c r="I47" s="29" t="inlineStr"/>
      <c r="J47" s="29" t="inlineStr"/>
      <c r="K47" s="29" t="inlineStr"/>
      <c r="L47" s="29" t="inlineStr"/>
      <c r="M47" s="26" t="inlineStr"/>
      <c r="N47" s="26" t="inlineStr"/>
    </row>
    <row r="48">
      <c r="A48" s="28" t="inlineStr">
        <is>
          <t>15.3.4.1</t>
        </is>
      </c>
      <c r="B48" s="28" t="inlineStr">
        <is>
          <t>NACSA-15.3.4a-NCII-SYS-001</t>
        </is>
      </c>
      <c r="C48" s="28" t="inlineStr"/>
      <c r="D48" s="28" t="inlineStr"/>
      <c r="E48" s="28" t="inlineStr">
        <is>
          <t>[System 1]: The PMS shall be reviewed annually as part of the overall IAM review process, and / or whenever chan...</t>
        </is>
      </c>
      <c r="F48" s="28"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48" s="28" t="inlineStr">
        <is>
          <t>Review report/minutes; Updated document post-review; Approval of changes</t>
        </is>
      </c>
      <c r="H48" s="28" t="inlineStr">
        <is>
          <t>Inspection</t>
        </is>
      </c>
      <c r="I48" s="28" t="inlineStr"/>
      <c r="J48" s="28" t="inlineStr"/>
      <c r="K48" s="28" t="inlineStr"/>
      <c r="L48" s="28" t="inlineStr"/>
      <c r="M48" s="28" t="inlineStr"/>
      <c r="N48" s="28" t="inlineStr"/>
    </row>
    <row r="49">
      <c r="A49" s="29" t="inlineStr">
        <is>
          <t>15.3.4</t>
        </is>
      </c>
      <c r="B49" s="29" t="inlineStr">
        <is>
          <t>NACSA-15.3.4-NCII-SYS-002</t>
        </is>
      </c>
      <c r="C49" s="29" t="inlineStr">
        <is>
          <t>SYSTEM</t>
        </is>
      </c>
      <c r="D49" s="29" t="inlineStr">
        <is>
          <t>Review of Password Management System</t>
        </is>
      </c>
      <c r="E49" s="29" t="inlineStr">
        <is>
          <t>[System 2]: Assess 1 mandatory requirement(s)</t>
        </is>
      </c>
      <c r="F49" s="29" t="inlineStr"/>
      <c r="G49" s="29" t="inlineStr"/>
      <c r="H49" s="29" t="inlineStr"/>
      <c r="I49" s="29" t="inlineStr"/>
      <c r="J49" s="29" t="inlineStr"/>
      <c r="K49" s="29" t="inlineStr"/>
      <c r="L49" s="29" t="inlineStr"/>
      <c r="M49" s="26" t="inlineStr"/>
      <c r="N49" s="26" t="inlineStr"/>
    </row>
    <row r="50">
      <c r="A50" s="7" t="inlineStr">
        <is>
          <t>15.3.4.1</t>
        </is>
      </c>
      <c r="B50" s="7" t="inlineStr">
        <is>
          <t>NACSA-15.3.4a-NCII-SYS-002</t>
        </is>
      </c>
      <c r="C50" s="7" t="inlineStr"/>
      <c r="D50" s="7" t="inlineStr"/>
      <c r="E50" s="7" t="inlineStr">
        <is>
          <t>[System 2]: The PMS shall be reviewed annually as part of the overall IAM review process, and / or whenever chan...</t>
        </is>
      </c>
      <c r="F50" s="7"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50" s="7" t="inlineStr">
        <is>
          <t>Review report/minutes; Updated document post-review; Approval of changes</t>
        </is>
      </c>
      <c r="H50" s="7" t="inlineStr">
        <is>
          <t>Inspection</t>
        </is>
      </c>
      <c r="I50" s="7" t="inlineStr"/>
      <c r="J50" s="7" t="inlineStr"/>
      <c r="K50" s="7" t="inlineStr"/>
      <c r="L50" s="7" t="inlineStr"/>
      <c r="M50" s="7" t="inlineStr"/>
      <c r="N50" s="7" t="inlineStr"/>
    </row>
    <row r="51">
      <c r="A51" s="29" t="inlineStr">
        <is>
          <t>15.3.4</t>
        </is>
      </c>
      <c r="B51" s="29" t="inlineStr">
        <is>
          <t>NACSA-15.3.4-NCII-SYS-003</t>
        </is>
      </c>
      <c r="C51" s="29" t="inlineStr">
        <is>
          <t>SYSTEM</t>
        </is>
      </c>
      <c r="D51" s="29" t="inlineStr">
        <is>
          <t>Review of Password Management System</t>
        </is>
      </c>
      <c r="E51" s="29" t="inlineStr">
        <is>
          <t>[System 3]: Assess 1 mandatory requirement(s)</t>
        </is>
      </c>
      <c r="F51" s="29" t="inlineStr"/>
      <c r="G51" s="29" t="inlineStr"/>
      <c r="H51" s="29" t="inlineStr"/>
      <c r="I51" s="29" t="inlineStr"/>
      <c r="J51" s="29" t="inlineStr"/>
      <c r="K51" s="29" t="inlineStr"/>
      <c r="L51" s="29" t="inlineStr"/>
      <c r="M51" s="26" t="inlineStr"/>
      <c r="N51" s="26" t="inlineStr"/>
    </row>
    <row r="52">
      <c r="A52" s="28" t="inlineStr">
        <is>
          <t>15.3.4.1</t>
        </is>
      </c>
      <c r="B52" s="28" t="inlineStr">
        <is>
          <t>NACSA-15.3.4a-NCII-SYS-003</t>
        </is>
      </c>
      <c r="C52" s="28" t="inlineStr"/>
      <c r="D52" s="28" t="inlineStr"/>
      <c r="E52" s="28" t="inlineStr">
        <is>
          <t>[System 3]: The PMS shall be reviewed annually as part of the overall IAM review process, and / or whenever chan...</t>
        </is>
      </c>
      <c r="F52" s="28"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52" s="28" t="inlineStr">
        <is>
          <t>Review report/minutes; Updated document post-review; Approval of changes</t>
        </is>
      </c>
      <c r="H52" s="28" t="inlineStr">
        <is>
          <t>Inspection</t>
        </is>
      </c>
      <c r="I52" s="28" t="inlineStr"/>
      <c r="J52" s="28" t="inlineStr"/>
      <c r="K52" s="28" t="inlineStr"/>
      <c r="L52" s="28" t="inlineStr"/>
      <c r="M52" s="28" t="inlineStr"/>
      <c r="N52" s="28" t="inlineStr"/>
    </row>
  </sheetData>
  <mergeCells count="3">
    <mergeCell ref="A3:N3"/>
    <mergeCell ref="A2:N2"/>
    <mergeCell ref="A22:N22"/>
  </mergeCells>
  <conditionalFormatting sqref="M4:M53">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52"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16.0 — Technical Vulnerability (Organisation-Level)</t>
        </is>
      </c>
      <c r="B2" s="38" t="n"/>
      <c r="C2" s="38" t="n"/>
      <c r="D2" s="38" t="n"/>
      <c r="E2" s="38" t="n"/>
      <c r="F2" s="38" t="n"/>
      <c r="G2" s="38" t="n"/>
      <c r="H2" s="38" t="n"/>
      <c r="I2" s="38" t="n"/>
      <c r="J2" s="38" t="n"/>
      <c r="K2" s="38" t="n"/>
      <c r="L2" s="38" t="n"/>
      <c r="M2" s="38" t="n"/>
      <c r="N2" s="39" t="n"/>
    </row>
    <row r="3" ht="60" customHeight="1">
      <c r="A3" s="23" t="inlineStr">
        <is>
          <t>WHY: Vulnerabilities are the attack surface. Without systematic identification, assessment, and remediation, known exploitable weaknesses persist in NCII systems.
WHAT GOOD LOOKS LIKE: Documented VMP with SLA-based remediation timelines, regular vulnerability scans, penetration testing, tracked remediation with risk acceptance for exceptions.
KEY RISK IF ABSENT: Unpatched systems exploited by known attack vectors, extended exposure windows, no visibility into security posture.</t>
        </is>
      </c>
      <c r="B3" s="38" t="n"/>
      <c r="C3" s="38" t="n"/>
      <c r="D3" s="38" t="n"/>
      <c r="E3" s="38" t="n"/>
      <c r="F3" s="38" t="n"/>
      <c r="G3" s="38" t="n"/>
      <c r="H3" s="38" t="n"/>
      <c r="I3" s="38" t="n"/>
      <c r="J3" s="38" t="n"/>
      <c r="K3" s="38" t="n"/>
      <c r="L3" s="38" t="n"/>
      <c r="M3" s="38" t="n"/>
      <c r="N3" s="39" t="n"/>
    </row>
    <row r="4">
      <c r="A4" s="25" t="inlineStr">
        <is>
          <t>16.1.1</t>
        </is>
      </c>
      <c r="B4" s="25" t="inlineStr">
        <is>
          <t>NACSA-16.1.1</t>
        </is>
      </c>
      <c r="C4" s="25" t="inlineStr">
        <is>
          <t>ORG</t>
        </is>
      </c>
      <c r="D4" s="25" t="inlineStr">
        <is>
          <t>Establishment of Vulnerability Management Procedure</t>
        </is>
      </c>
      <c r="E4" s="25" t="inlineStr">
        <is>
          <t>Assess 1 mandatory requirement(s)</t>
        </is>
      </c>
      <c r="F4" s="25" t="inlineStr"/>
      <c r="G4" s="25" t="inlineStr"/>
      <c r="H4" s="25" t="inlineStr"/>
      <c r="I4" s="25" t="inlineStr"/>
      <c r="J4" s="25" t="inlineStr"/>
      <c r="K4" s="25" t="inlineStr"/>
      <c r="L4" s="25" t="inlineStr"/>
      <c r="M4" s="26" t="inlineStr"/>
      <c r="N4" s="26" t="inlineStr"/>
    </row>
    <row r="5">
      <c r="A5" s="7" t="inlineStr">
        <is>
          <t>16.1.1.1</t>
        </is>
      </c>
      <c r="B5" s="7" t="inlineStr">
        <is>
          <t>NACSA-16.1.1a</t>
        </is>
      </c>
      <c r="C5" s="7" t="inlineStr"/>
      <c r="D5" s="7" t="inlineStr"/>
      <c r="E5" s="7" t="inlineStr">
        <is>
          <t>The NCII entity shall establish a Vulnerability Management Procedure (VMP) following the vulnerability management lifecy...</t>
        </is>
      </c>
      <c r="F5" s="7" t="inlineStr">
        <is>
          <t>1. Request the current procedure document with approval records.
2. Verify it is formally approved by the governance committee or top management (check signatures, dates).
3. Confirm it addresses all elements specified in this clause.
4. Verify version control is maintained with change history.</t>
        </is>
      </c>
      <c r="G5" s="7" t="inlineStr">
        <is>
          <t>Approved policy/procedure document; Committee approval record; Version history</t>
        </is>
      </c>
      <c r="H5" s="7" t="inlineStr">
        <is>
          <t>Inspection</t>
        </is>
      </c>
      <c r="I5" s="7" t="inlineStr"/>
      <c r="J5" s="7" t="inlineStr"/>
      <c r="K5" s="7" t="inlineStr"/>
      <c r="L5" s="7" t="inlineStr"/>
      <c r="M5" s="7" t="inlineStr"/>
      <c r="N5" s="7" t="inlineStr"/>
    </row>
    <row r="6">
      <c r="A6" s="25" t="inlineStr">
        <is>
          <t>16.1.2</t>
        </is>
      </c>
      <c r="B6" s="25" t="inlineStr">
        <is>
          <t>NACSA-16.1.2</t>
        </is>
      </c>
      <c r="C6" s="25" t="inlineStr">
        <is>
          <t>ORG</t>
        </is>
      </c>
      <c r="D6" s="25" t="inlineStr">
        <is>
          <t>Alignment with Best Practices</t>
        </is>
      </c>
      <c r="E6" s="25" t="inlineStr">
        <is>
          <t>Assess 1 mandatory requirement(s)</t>
        </is>
      </c>
      <c r="F6" s="25" t="inlineStr"/>
      <c r="G6" s="25" t="inlineStr"/>
      <c r="H6" s="25" t="inlineStr"/>
      <c r="I6" s="25" t="inlineStr"/>
      <c r="J6" s="25" t="inlineStr"/>
      <c r="K6" s="25" t="inlineStr"/>
      <c r="L6" s="25" t="inlineStr"/>
      <c r="M6" s="26" t="inlineStr"/>
      <c r="N6" s="26" t="inlineStr"/>
    </row>
    <row r="7">
      <c r="A7" s="28" t="inlineStr">
        <is>
          <t>16.1.2.1</t>
        </is>
      </c>
      <c r="B7" s="28" t="inlineStr">
        <is>
          <t>NACSA-16.1.2a</t>
        </is>
      </c>
      <c r="C7" s="28" t="inlineStr"/>
      <c r="D7" s="28" t="inlineStr"/>
      <c r="E7" s="28" t="inlineStr">
        <is>
          <t>The procedure shall align with industry standards and best practices such as NIST SP 800-40 Guide to Enterprise Patch Ma...</t>
        </is>
      </c>
      <c r="F7" s="28" t="inlineStr">
        <is>
          <t>1. Request vulnerability management procedure.
2. Review latest vulnerability scan results for NCII systems.
3. Check remediation timelines against SLAs.
4. Verify penetration test reports and remediation of findings.</t>
        </is>
      </c>
      <c r="G7" s="28" t="inlineStr">
        <is>
          <t>VMP document; Scan reports; Remediation tracker; Penetration test reports</t>
        </is>
      </c>
      <c r="H7" s="28" t="inlineStr">
        <is>
          <t>Inspection</t>
        </is>
      </c>
      <c r="I7" s="28" t="inlineStr"/>
      <c r="J7" s="28" t="inlineStr"/>
      <c r="K7" s="28" t="inlineStr"/>
      <c r="L7" s="28" t="inlineStr"/>
      <c r="M7" s="28" t="inlineStr"/>
      <c r="N7" s="28" t="inlineStr"/>
    </row>
    <row r="8">
      <c r="A8" s="25" t="inlineStr">
        <is>
          <t>16.1.4</t>
        </is>
      </c>
      <c r="B8" s="25" t="inlineStr">
        <is>
          <t>NACSA-16.1.4</t>
        </is>
      </c>
      <c r="C8" s="25" t="inlineStr">
        <is>
          <t>ORG</t>
        </is>
      </c>
      <c r="D8" s="25" t="inlineStr">
        <is>
          <t>Review and Updates</t>
        </is>
      </c>
      <c r="E8" s="25" t="inlineStr">
        <is>
          <t>Assess 1 mandatory requirement(s)</t>
        </is>
      </c>
      <c r="F8" s="25" t="inlineStr"/>
      <c r="G8" s="25" t="inlineStr"/>
      <c r="H8" s="25" t="inlineStr"/>
      <c r="I8" s="25" t="inlineStr"/>
      <c r="J8" s="25" t="inlineStr"/>
      <c r="K8" s="25" t="inlineStr"/>
      <c r="L8" s="25" t="inlineStr"/>
      <c r="M8" s="26" t="inlineStr"/>
      <c r="N8" s="26" t="inlineStr"/>
    </row>
    <row r="9">
      <c r="A9" s="7" t="inlineStr">
        <is>
          <t>16.1.4.1</t>
        </is>
      </c>
      <c r="B9" s="7" t="inlineStr">
        <is>
          <t>NACSA-16.1.4a</t>
        </is>
      </c>
      <c r="C9" s="7" t="inlineStr"/>
      <c r="D9" s="7" t="inlineStr"/>
      <c r="E9" s="7" t="inlineStr">
        <is>
          <t>The VMP shall be reviewed and updated annually, to incorporate changes in cyber security threat landscapes or organisati...</t>
        </is>
      </c>
      <c r="F9" s="7"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9" s="7" t="inlineStr">
        <is>
          <t>Review report/minutes; Updated document post-review; Approval of changes</t>
        </is>
      </c>
      <c r="H9" s="7" t="inlineStr">
        <is>
          <t>Inspection</t>
        </is>
      </c>
      <c r="I9" s="7" t="inlineStr"/>
      <c r="J9" s="7" t="inlineStr"/>
      <c r="K9" s="7" t="inlineStr"/>
      <c r="L9" s="7" t="inlineStr"/>
      <c r="M9" s="7" t="inlineStr"/>
      <c r="N9" s="7" t="inlineStr"/>
    </row>
    <row r="10">
      <c r="A10" s="25" t="inlineStr">
        <is>
          <t>16.2.1</t>
        </is>
      </c>
      <c r="B10" s="25" t="inlineStr">
        <is>
          <t>NACSA-16.2.1</t>
        </is>
      </c>
      <c r="C10" s="25" t="inlineStr">
        <is>
          <t>ORG</t>
        </is>
      </c>
      <c r="D10" s="25" t="inlineStr">
        <is>
          <t>Establishment of Vulnerability Assessment Plan</t>
        </is>
      </c>
      <c r="E10" s="25" t="inlineStr">
        <is>
          <t>Assess 1 mandatory requirement(s)</t>
        </is>
      </c>
      <c r="F10" s="25" t="inlineStr"/>
      <c r="G10" s="25" t="inlineStr"/>
      <c r="H10" s="25" t="inlineStr"/>
      <c r="I10" s="25" t="inlineStr"/>
      <c r="J10" s="25" t="inlineStr"/>
      <c r="K10" s="25" t="inlineStr"/>
      <c r="L10" s="25" t="inlineStr"/>
      <c r="M10" s="26" t="inlineStr"/>
      <c r="N10" s="26" t="inlineStr"/>
    </row>
    <row r="11">
      <c r="A11" s="28" t="inlineStr">
        <is>
          <t>16.2.1.1</t>
        </is>
      </c>
      <c r="B11" s="28" t="inlineStr">
        <is>
          <t>NACSA-16.2.1a</t>
        </is>
      </c>
      <c r="C11" s="28" t="inlineStr"/>
      <c r="D11" s="28" t="inlineStr"/>
      <c r="E11" s="28" t="inlineStr">
        <is>
          <t>The NCII entity shall define a Vulnerability Assessment Plan (VAP) that outline the following:
- The scope of assessment...</t>
        </is>
      </c>
      <c r="F11" s="28" t="inlineStr">
        <is>
          <t>1. Request the most recent audit/assessment report.
2. Verify it was conducted by an approved/qualified party.
3. Confirm submission to CE NACSA within required timeframe.
4. Check that findings are tracked with remediation plans.</t>
        </is>
      </c>
      <c r="G11" s="28" t="inlineStr">
        <is>
          <t>Audit/assessment report; Assessor qualifications/approval; CE submission confirmation; Remediation tracker</t>
        </is>
      </c>
      <c r="H11" s="28" t="inlineStr">
        <is>
          <t>Inspection</t>
        </is>
      </c>
      <c r="I11" s="28" t="inlineStr"/>
      <c r="J11" s="28" t="inlineStr"/>
      <c r="K11" s="28" t="inlineStr"/>
      <c r="L11" s="28" t="inlineStr"/>
      <c r="M11" s="28" t="inlineStr"/>
      <c r="N11" s="28" t="inlineStr"/>
    </row>
    <row r="12">
      <c r="A12" s="25" t="inlineStr">
        <is>
          <t>16.2.5</t>
        </is>
      </c>
      <c r="B12" s="25" t="inlineStr">
        <is>
          <t>NACSA-16.2.5</t>
        </is>
      </c>
      <c r="C12" s="25" t="inlineStr">
        <is>
          <t>ORG</t>
        </is>
      </c>
      <c r="D12" s="25" t="inlineStr">
        <is>
          <t>Review and Reporting</t>
        </is>
      </c>
      <c r="E12" s="25" t="inlineStr">
        <is>
          <t>Assess 1 mandatory requirement(s)</t>
        </is>
      </c>
      <c r="F12" s="25" t="inlineStr"/>
      <c r="G12" s="25" t="inlineStr"/>
      <c r="H12" s="25" t="inlineStr"/>
      <c r="I12" s="25" t="inlineStr"/>
      <c r="J12" s="25" t="inlineStr"/>
      <c r="K12" s="25" t="inlineStr"/>
      <c r="L12" s="25" t="inlineStr"/>
      <c r="M12" s="26" t="inlineStr"/>
      <c r="N12" s="26" t="inlineStr"/>
    </row>
    <row r="13">
      <c r="A13" s="7" t="inlineStr">
        <is>
          <t>16.2.5.1</t>
        </is>
      </c>
      <c r="B13" s="7" t="inlineStr">
        <is>
          <t>NACSA-16.2.5a</t>
        </is>
      </c>
      <c r="C13" s="7" t="inlineStr"/>
      <c r="D13" s="7" t="inlineStr"/>
      <c r="E13" s="7" t="inlineStr">
        <is>
          <t>The outcomes of vulnerability assessments and remediation shall be:
- Documented in detailed reports that include:
  - L...</t>
        </is>
      </c>
      <c r="F13" s="7" t="inlineStr">
        <is>
          <t>1. Request the VMP document with severity-to-SLA mapping.
2. Request the latest vulnerability scan reports for all NCII systems.
3. Calculate scan coverage percentage (scanned assets / total NCII assets).
4. Sample 10 critical vulnerabilities — verify remediation within the defined SLA.</t>
        </is>
      </c>
      <c r="G13" s="7" t="inlineStr">
        <is>
          <t>Approved policy/procedure document; Committee approval record; Version history</t>
        </is>
      </c>
      <c r="H13" s="7" t="inlineStr">
        <is>
          <t>Inspection</t>
        </is>
      </c>
      <c r="I13" s="7" t="inlineStr"/>
      <c r="J13" s="7" t="inlineStr"/>
      <c r="K13" s="7" t="inlineStr"/>
      <c r="L13" s="7" t="inlineStr"/>
      <c r="M13" s="7" t="inlineStr"/>
      <c r="N13" s="7" t="inlineStr"/>
    </row>
    <row r="14"/>
    <row r="15">
      <c r="A15" s="21" t="inlineStr">
        <is>
          <t>CoP 16.0 — Technical Vulnerability (System-Level: per NCII system)</t>
        </is>
      </c>
      <c r="B15" s="38" t="n"/>
      <c r="C15" s="38" t="n"/>
      <c r="D15" s="38" t="n"/>
      <c r="E15" s="38" t="n"/>
      <c r="F15" s="38" t="n"/>
      <c r="G15" s="38" t="n"/>
      <c r="H15" s="38" t="n"/>
      <c r="I15" s="38" t="n"/>
      <c r="J15" s="38" t="n"/>
      <c r="K15" s="38" t="n"/>
      <c r="L15" s="38" t="n"/>
      <c r="M15" s="38" t="n"/>
      <c r="N15" s="39" t="n"/>
    </row>
    <row r="16">
      <c r="A16" s="29" t="inlineStr">
        <is>
          <t>16.1.3</t>
        </is>
      </c>
      <c r="B16" s="29" t="inlineStr">
        <is>
          <t>NACSA-16.1.3-NCII-SYS-001</t>
        </is>
      </c>
      <c r="C16" s="29" t="inlineStr">
        <is>
          <t>SYSTEM</t>
        </is>
      </c>
      <c r="D16" s="29" t="inlineStr">
        <is>
          <t>Compliance Monitoring</t>
        </is>
      </c>
      <c r="E16" s="29" t="inlineStr">
        <is>
          <t>[System 1]: Assess 1 mandatory requirement(s)</t>
        </is>
      </c>
      <c r="F16" s="29" t="inlineStr"/>
      <c r="G16" s="29" t="inlineStr"/>
      <c r="H16" s="29" t="inlineStr"/>
      <c r="I16" s="29" t="inlineStr"/>
      <c r="J16" s="29" t="inlineStr"/>
      <c r="K16" s="29" t="inlineStr"/>
      <c r="L16" s="29" t="inlineStr"/>
      <c r="M16" s="26" t="inlineStr"/>
      <c r="N16" s="26" t="inlineStr"/>
    </row>
    <row r="17">
      <c r="A17" s="28" t="inlineStr">
        <is>
          <t>16.1.3.1</t>
        </is>
      </c>
      <c r="B17" s="28" t="inlineStr">
        <is>
          <t>NACSA-16.1.3a-NCII-SYS-001</t>
        </is>
      </c>
      <c r="C17" s="28" t="inlineStr"/>
      <c r="D17" s="28" t="inlineStr"/>
      <c r="E17" s="28" t="inlineStr">
        <is>
          <t>[System 1]: Compliance with the VMP shall be monitored through:
- Regular internal audits to verify adherence to...</t>
        </is>
      </c>
      <c r="F17" s="28" t="inlineStr">
        <is>
          <t>1. Request compliance monitoring reports for the last 12 months.
2. Verify monitoring covers all applicable requirements (not just a subset).
3. Check that non-compliance items are tracked with remediation owners and timelines.
4. Confirm results are reported to the governance committee.</t>
        </is>
      </c>
      <c r="G17" s="28" t="inlineStr">
        <is>
          <t>Approved policy/procedure document; Committee approval record; Version history</t>
        </is>
      </c>
      <c r="H17" s="28" t="inlineStr">
        <is>
          <t>Inspection</t>
        </is>
      </c>
      <c r="I17" s="28" t="inlineStr"/>
      <c r="J17" s="28" t="inlineStr"/>
      <c r="K17" s="28" t="inlineStr"/>
      <c r="L17" s="28" t="inlineStr"/>
      <c r="M17" s="28" t="inlineStr"/>
      <c r="N17" s="28" t="inlineStr"/>
    </row>
    <row r="18">
      <c r="A18" s="29" t="inlineStr">
        <is>
          <t>16.1.3</t>
        </is>
      </c>
      <c r="B18" s="29" t="inlineStr">
        <is>
          <t>NACSA-16.1.3-NCII-SYS-002</t>
        </is>
      </c>
      <c r="C18" s="29" t="inlineStr">
        <is>
          <t>SYSTEM</t>
        </is>
      </c>
      <c r="D18" s="29" t="inlineStr">
        <is>
          <t>Compliance Monitoring</t>
        </is>
      </c>
      <c r="E18" s="29" t="inlineStr">
        <is>
          <t>[System 2]: Assess 1 mandatory requirement(s)</t>
        </is>
      </c>
      <c r="F18" s="29" t="inlineStr"/>
      <c r="G18" s="29" t="inlineStr"/>
      <c r="H18" s="29" t="inlineStr"/>
      <c r="I18" s="29" t="inlineStr"/>
      <c r="J18" s="29" t="inlineStr"/>
      <c r="K18" s="29" t="inlineStr"/>
      <c r="L18" s="29" t="inlineStr"/>
      <c r="M18" s="26" t="inlineStr"/>
      <c r="N18" s="26" t="inlineStr"/>
    </row>
    <row r="19">
      <c r="A19" s="7" t="inlineStr">
        <is>
          <t>16.1.3.1</t>
        </is>
      </c>
      <c r="B19" s="7" t="inlineStr">
        <is>
          <t>NACSA-16.1.3a-NCII-SYS-002</t>
        </is>
      </c>
      <c r="C19" s="7" t="inlineStr"/>
      <c r="D19" s="7" t="inlineStr"/>
      <c r="E19" s="7" t="inlineStr">
        <is>
          <t>[System 2]: Compliance with the VMP shall be monitored through:
- Regular internal audits to verify adherence to...</t>
        </is>
      </c>
      <c r="F19" s="7" t="inlineStr">
        <is>
          <t>1. Request compliance monitoring reports for the last 12 months.
2. Verify monitoring covers all applicable requirements (not just a subset).
3. Check that non-compliance items are tracked with remediation owners and timelines.
4. Confirm results are reported to the governance committee.</t>
        </is>
      </c>
      <c r="G19" s="7" t="inlineStr">
        <is>
          <t>Approved policy/procedure document; Committee approval record; Version history</t>
        </is>
      </c>
      <c r="H19" s="7" t="inlineStr">
        <is>
          <t>Inspection</t>
        </is>
      </c>
      <c r="I19" s="7" t="inlineStr"/>
      <c r="J19" s="7" t="inlineStr"/>
      <c r="K19" s="7" t="inlineStr"/>
      <c r="L19" s="7" t="inlineStr"/>
      <c r="M19" s="7" t="inlineStr"/>
      <c r="N19" s="7" t="inlineStr"/>
    </row>
    <row r="20">
      <c r="A20" s="29" t="inlineStr">
        <is>
          <t>16.1.3</t>
        </is>
      </c>
      <c r="B20" s="29" t="inlineStr">
        <is>
          <t>NACSA-16.1.3-NCII-SYS-003</t>
        </is>
      </c>
      <c r="C20" s="29" t="inlineStr">
        <is>
          <t>SYSTEM</t>
        </is>
      </c>
      <c r="D20" s="29" t="inlineStr">
        <is>
          <t>Compliance Monitoring</t>
        </is>
      </c>
      <c r="E20" s="29" t="inlineStr">
        <is>
          <t>[System 3]: Assess 1 mandatory requirement(s)</t>
        </is>
      </c>
      <c r="F20" s="29" t="inlineStr"/>
      <c r="G20" s="29" t="inlineStr"/>
      <c r="H20" s="29" t="inlineStr"/>
      <c r="I20" s="29" t="inlineStr"/>
      <c r="J20" s="29" t="inlineStr"/>
      <c r="K20" s="29" t="inlineStr"/>
      <c r="L20" s="29" t="inlineStr"/>
      <c r="M20" s="26" t="inlineStr"/>
      <c r="N20" s="26" t="inlineStr"/>
    </row>
    <row r="21">
      <c r="A21" s="28" t="inlineStr">
        <is>
          <t>16.1.3.1</t>
        </is>
      </c>
      <c r="B21" s="28" t="inlineStr">
        <is>
          <t>NACSA-16.1.3a-NCII-SYS-003</t>
        </is>
      </c>
      <c r="C21" s="28" t="inlineStr"/>
      <c r="D21" s="28" t="inlineStr"/>
      <c r="E21" s="28" t="inlineStr">
        <is>
          <t>[System 3]: Compliance with the VMP shall be monitored through:
- Regular internal audits to verify adherence to...</t>
        </is>
      </c>
      <c r="F21" s="28" t="inlineStr">
        <is>
          <t>1. Request compliance monitoring reports for the last 12 months.
2. Verify monitoring covers all applicable requirements (not just a subset).
3. Check that non-compliance items are tracked with remediation owners and timelines.
4. Confirm results are reported to the governance committee.</t>
        </is>
      </c>
      <c r="G21" s="28" t="inlineStr">
        <is>
          <t>Approved policy/procedure document; Committee approval record; Version history</t>
        </is>
      </c>
      <c r="H21" s="28" t="inlineStr">
        <is>
          <t>Inspection</t>
        </is>
      </c>
      <c r="I21" s="28" t="inlineStr"/>
      <c r="J21" s="28" t="inlineStr"/>
      <c r="K21" s="28" t="inlineStr"/>
      <c r="L21" s="28" t="inlineStr"/>
      <c r="M21" s="28" t="inlineStr"/>
      <c r="N21" s="28" t="inlineStr"/>
    </row>
    <row r="22">
      <c r="A22" s="29" t="inlineStr">
        <is>
          <t>16.2.2</t>
        </is>
      </c>
      <c r="B22" s="29" t="inlineStr">
        <is>
          <t>NACSA-16.2.2-NCII-SYS-001</t>
        </is>
      </c>
      <c r="C22" s="29" t="inlineStr">
        <is>
          <t>SYSTEM</t>
        </is>
      </c>
      <c r="D22" s="29" t="inlineStr">
        <is>
          <t>Conducting Vulnerability Assessment Plan</t>
        </is>
      </c>
      <c r="E22" s="29" t="inlineStr">
        <is>
          <t>[System 1]: Assess 2 mandatory requirement(s) + 1 improvement opportunity(ies)</t>
        </is>
      </c>
      <c r="F22" s="29" t="inlineStr"/>
      <c r="G22" s="29" t="inlineStr"/>
      <c r="H22" s="29" t="inlineStr"/>
      <c r="I22" s="29" t="inlineStr"/>
      <c r="J22" s="29" t="inlineStr"/>
      <c r="K22" s="29" t="inlineStr"/>
      <c r="L22" s="29" t="inlineStr"/>
      <c r="M22" s="26" t="inlineStr"/>
      <c r="N22" s="26" t="inlineStr"/>
    </row>
    <row r="23">
      <c r="A23" s="7" t="inlineStr">
        <is>
          <t>16.2.2.1</t>
        </is>
      </c>
      <c r="B23" s="7" t="inlineStr">
        <is>
          <t>NACSA-16.2.2a-NCII-SYS-001</t>
        </is>
      </c>
      <c r="C23" s="7" t="inlineStr"/>
      <c r="D23" s="7" t="inlineStr"/>
      <c r="E23" s="7" t="inlineStr">
        <is>
          <t>[System 1]: Vulnerability assessments shall be conducted in accordance with the VAP.</t>
        </is>
      </c>
      <c r="F23" s="7" t="inlineStr">
        <is>
          <t>1. Request the most recent audit/assessment report.
2. Verify it was conducted by an approved/qualified party.
3. Confirm submission to CE NACSA within required timeframe.
4. Check that findings are tracked with remediation plans.</t>
        </is>
      </c>
      <c r="G23" s="7" t="inlineStr">
        <is>
          <t>Audit/assessment report; Assessor qualifications/approval; CE submission confirmation; Remediation tracker</t>
        </is>
      </c>
      <c r="H23" s="7" t="inlineStr">
        <is>
          <t>Inspection</t>
        </is>
      </c>
      <c r="I23" s="7" t="inlineStr"/>
      <c r="J23" s="7" t="inlineStr"/>
      <c r="K23" s="7" t="inlineStr"/>
      <c r="L23" s="7" t="inlineStr"/>
      <c r="M23" s="7" t="inlineStr"/>
      <c r="N23" s="7" t="inlineStr"/>
    </row>
    <row r="24">
      <c r="A24" s="27" t="inlineStr">
        <is>
          <t>16.2.2.2</t>
        </is>
      </c>
      <c r="B24" s="27" t="inlineStr">
        <is>
          <t>NACSA-16.2.2b-NCII-SYS-001</t>
        </is>
      </c>
      <c r="C24" s="27" t="inlineStr"/>
      <c r="D24" s="27" t="inlineStr"/>
      <c r="E24" s="27" t="inlineStr">
        <is>
          <t>(Tier 2 -- Improvement Opportunity) The assessments may be carried out through automated vulnerability scanning that...</t>
        </is>
      </c>
      <c r="F24" s="27" t="inlineStr">
        <is>
          <t>1. Request the most recent audit/assessment report.
2. Verify it was conducted by an approved/qualified party.
3. Confirm submission to CE NACSA within required timeframe.
4. Check that findings are tracked with remediation plans.</t>
        </is>
      </c>
      <c r="G24" s="27" t="inlineStr">
        <is>
          <t>Audit/assessment report; Assessor qualifications/approval; CE submission confirmation; Remediation tracker</t>
        </is>
      </c>
      <c r="H24" s="27" t="inlineStr">
        <is>
          <t>Inspection</t>
        </is>
      </c>
      <c r="I24" s="27" t="inlineStr"/>
      <c r="J24" s="27" t="inlineStr"/>
      <c r="K24" s="27" t="inlineStr"/>
      <c r="L24" s="27" t="inlineStr"/>
      <c r="M24" s="27" t="inlineStr"/>
      <c r="N24" s="27" t="inlineStr"/>
    </row>
    <row r="25">
      <c r="A25" s="7" t="inlineStr">
        <is>
          <t>16.2.2.3</t>
        </is>
      </c>
      <c r="B25" s="7" t="inlineStr">
        <is>
          <t>NACSA-16.2.2c-NCII-SYS-001</t>
        </is>
      </c>
      <c r="C25" s="7" t="inlineStr"/>
      <c r="D25" s="7" t="inlineStr"/>
      <c r="E25" s="7" t="inlineStr">
        <is>
          <t>[System 1]: The NCII entity shall ensure that vulnerability assessments shall be performed by authorised cyber s...</t>
        </is>
      </c>
      <c r="F25" s="7" t="inlineStr">
        <is>
          <t>1. Request the most recent audit/assessment report.
2. Verify it was conducted by an approved/qualified party.
3. Confirm submission to CE NACSA within required timeframe.
4. Check that findings are tracked with remediation plans.</t>
        </is>
      </c>
      <c r="G25" s="7" t="inlineStr">
        <is>
          <t>Audit/assessment report; Assessor qualifications/approval; CE submission confirmation; Remediation tracker</t>
        </is>
      </c>
      <c r="H25" s="7" t="inlineStr">
        <is>
          <t>Inspection</t>
        </is>
      </c>
      <c r="I25" s="7" t="inlineStr"/>
      <c r="J25" s="7" t="inlineStr"/>
      <c r="K25" s="7" t="inlineStr"/>
      <c r="L25" s="7" t="inlineStr"/>
      <c r="M25" s="7" t="inlineStr"/>
      <c r="N25" s="7" t="inlineStr"/>
    </row>
    <row r="26">
      <c r="A26" s="29" t="inlineStr">
        <is>
          <t>16.2.2</t>
        </is>
      </c>
      <c r="B26" s="29" t="inlineStr">
        <is>
          <t>NACSA-16.2.2-NCII-SYS-002</t>
        </is>
      </c>
      <c r="C26" s="29" t="inlineStr">
        <is>
          <t>SYSTEM</t>
        </is>
      </c>
      <c r="D26" s="29" t="inlineStr">
        <is>
          <t>Conducting Vulnerability Assessment Plan</t>
        </is>
      </c>
      <c r="E26" s="29" t="inlineStr">
        <is>
          <t>[System 2]: Assess 2 mandatory requirement(s) + 1 improvement opportunity(ies)</t>
        </is>
      </c>
      <c r="F26" s="29" t="inlineStr"/>
      <c r="G26" s="29" t="inlineStr"/>
      <c r="H26" s="29" t="inlineStr"/>
      <c r="I26" s="29" t="inlineStr"/>
      <c r="J26" s="29" t="inlineStr"/>
      <c r="K26" s="29" t="inlineStr"/>
      <c r="L26" s="29" t="inlineStr"/>
      <c r="M26" s="26" t="inlineStr"/>
      <c r="N26" s="26" t="inlineStr"/>
    </row>
    <row r="27">
      <c r="A27" s="28" t="inlineStr">
        <is>
          <t>16.2.2.1</t>
        </is>
      </c>
      <c r="B27" s="28" t="inlineStr">
        <is>
          <t>NACSA-16.2.2a-NCII-SYS-002</t>
        </is>
      </c>
      <c r="C27" s="28" t="inlineStr"/>
      <c r="D27" s="28" t="inlineStr"/>
      <c r="E27" s="28" t="inlineStr">
        <is>
          <t>[System 2]: Vulnerability assessments shall be conducted in accordance with the VAP.</t>
        </is>
      </c>
      <c r="F27" s="28" t="inlineStr">
        <is>
          <t>1. Request the most recent audit/assessment report.
2. Verify it was conducted by an approved/qualified party.
3. Confirm submission to CE NACSA within required timeframe.
4. Check that findings are tracked with remediation plans.</t>
        </is>
      </c>
      <c r="G27" s="28" t="inlineStr">
        <is>
          <t>Audit/assessment report; Assessor qualifications/approval; CE submission confirmation; Remediation tracker</t>
        </is>
      </c>
      <c r="H27" s="28" t="inlineStr">
        <is>
          <t>Inspection</t>
        </is>
      </c>
      <c r="I27" s="28" t="inlineStr"/>
      <c r="J27" s="28" t="inlineStr"/>
      <c r="K27" s="28" t="inlineStr"/>
      <c r="L27" s="28" t="inlineStr"/>
      <c r="M27" s="28" t="inlineStr"/>
      <c r="N27" s="28" t="inlineStr"/>
    </row>
    <row r="28">
      <c r="A28" s="27" t="inlineStr">
        <is>
          <t>16.2.2.2</t>
        </is>
      </c>
      <c r="B28" s="27" t="inlineStr">
        <is>
          <t>NACSA-16.2.2b-NCII-SYS-002</t>
        </is>
      </c>
      <c r="C28" s="27" t="inlineStr"/>
      <c r="D28" s="27" t="inlineStr"/>
      <c r="E28" s="27" t="inlineStr">
        <is>
          <t>(Tier 2 -- Improvement Opportunity) The assessments may be carried out through automated vulnerability scanning that...</t>
        </is>
      </c>
      <c r="F28" s="27" t="inlineStr">
        <is>
          <t>1. Request the most recent audit/assessment report.
2. Verify it was conducted by an approved/qualified party.
3. Confirm submission to CE NACSA within required timeframe.
4. Check that findings are tracked with remediation plans.</t>
        </is>
      </c>
      <c r="G28" s="27" t="inlineStr">
        <is>
          <t>Audit/assessment report; Assessor qualifications/approval; CE submission confirmation; Remediation tracker</t>
        </is>
      </c>
      <c r="H28" s="27" t="inlineStr">
        <is>
          <t>Inspection</t>
        </is>
      </c>
      <c r="I28" s="27" t="inlineStr"/>
      <c r="J28" s="27" t="inlineStr"/>
      <c r="K28" s="27" t="inlineStr"/>
      <c r="L28" s="27" t="inlineStr"/>
      <c r="M28" s="27" t="inlineStr"/>
      <c r="N28" s="27" t="inlineStr"/>
    </row>
    <row r="29">
      <c r="A29" s="28" t="inlineStr">
        <is>
          <t>16.2.2.3</t>
        </is>
      </c>
      <c r="B29" s="28" t="inlineStr">
        <is>
          <t>NACSA-16.2.2c-NCII-SYS-002</t>
        </is>
      </c>
      <c r="C29" s="28" t="inlineStr"/>
      <c r="D29" s="28" t="inlineStr"/>
      <c r="E29" s="28" t="inlineStr">
        <is>
          <t>[System 2]: The NCII entity shall ensure that vulnerability assessments shall be performed by authorised cyber s...</t>
        </is>
      </c>
      <c r="F29" s="28" t="inlineStr">
        <is>
          <t>1. Request the most recent audit/assessment report.
2. Verify it was conducted by an approved/qualified party.
3. Confirm submission to CE NACSA within required timeframe.
4. Check that findings are tracked with remediation plans.</t>
        </is>
      </c>
      <c r="G29" s="28" t="inlineStr">
        <is>
          <t>Audit/assessment report; Assessor qualifications/approval; CE submission confirmation; Remediation tracker</t>
        </is>
      </c>
      <c r="H29" s="28" t="inlineStr">
        <is>
          <t>Inspection</t>
        </is>
      </c>
      <c r="I29" s="28" t="inlineStr"/>
      <c r="J29" s="28" t="inlineStr"/>
      <c r="K29" s="28" t="inlineStr"/>
      <c r="L29" s="28" t="inlineStr"/>
      <c r="M29" s="28" t="inlineStr"/>
      <c r="N29" s="28" t="inlineStr"/>
    </row>
    <row r="30">
      <c r="A30" s="29" t="inlineStr">
        <is>
          <t>16.2.2</t>
        </is>
      </c>
      <c r="B30" s="29" t="inlineStr">
        <is>
          <t>NACSA-16.2.2-NCII-SYS-003</t>
        </is>
      </c>
      <c r="C30" s="29" t="inlineStr">
        <is>
          <t>SYSTEM</t>
        </is>
      </c>
      <c r="D30" s="29" t="inlineStr">
        <is>
          <t>Conducting Vulnerability Assessment Plan</t>
        </is>
      </c>
      <c r="E30" s="29" t="inlineStr">
        <is>
          <t>[System 3]: Assess 2 mandatory requirement(s) + 1 improvement opportunity(ies)</t>
        </is>
      </c>
      <c r="F30" s="29" t="inlineStr"/>
      <c r="G30" s="29" t="inlineStr"/>
      <c r="H30" s="29" t="inlineStr"/>
      <c r="I30" s="29" t="inlineStr"/>
      <c r="J30" s="29" t="inlineStr"/>
      <c r="K30" s="29" t="inlineStr"/>
      <c r="L30" s="29" t="inlineStr"/>
      <c r="M30" s="26" t="inlineStr"/>
      <c r="N30" s="26" t="inlineStr"/>
    </row>
    <row r="31">
      <c r="A31" s="7" t="inlineStr">
        <is>
          <t>16.2.2.1</t>
        </is>
      </c>
      <c r="B31" s="7" t="inlineStr">
        <is>
          <t>NACSA-16.2.2a-NCII-SYS-003</t>
        </is>
      </c>
      <c r="C31" s="7" t="inlineStr"/>
      <c r="D31" s="7" t="inlineStr"/>
      <c r="E31" s="7" t="inlineStr">
        <is>
          <t>[System 3]: Vulnerability assessments shall be conducted in accordance with the VAP.</t>
        </is>
      </c>
      <c r="F31" s="7" t="inlineStr">
        <is>
          <t>1. Request the most recent audit/assessment report.
2. Verify it was conducted by an approved/qualified party.
3. Confirm submission to CE NACSA within required timeframe.
4. Check that findings are tracked with remediation plans.</t>
        </is>
      </c>
      <c r="G31" s="7" t="inlineStr">
        <is>
          <t>Audit/assessment report; Assessor qualifications/approval; CE submission confirmation; Remediation tracker</t>
        </is>
      </c>
      <c r="H31" s="7" t="inlineStr">
        <is>
          <t>Inspection</t>
        </is>
      </c>
      <c r="I31" s="7" t="inlineStr"/>
      <c r="J31" s="7" t="inlineStr"/>
      <c r="K31" s="7" t="inlineStr"/>
      <c r="L31" s="7" t="inlineStr"/>
      <c r="M31" s="7" t="inlineStr"/>
      <c r="N31" s="7" t="inlineStr"/>
    </row>
    <row r="32">
      <c r="A32" s="27" t="inlineStr">
        <is>
          <t>16.2.2.2</t>
        </is>
      </c>
      <c r="B32" s="27" t="inlineStr">
        <is>
          <t>NACSA-16.2.2b-NCII-SYS-003</t>
        </is>
      </c>
      <c r="C32" s="27" t="inlineStr"/>
      <c r="D32" s="27" t="inlineStr"/>
      <c r="E32" s="27" t="inlineStr">
        <is>
          <t>(Tier 2 -- Improvement Opportunity) The assessments may be carried out through automated vulnerability scanning that...</t>
        </is>
      </c>
      <c r="F32" s="27" t="inlineStr">
        <is>
          <t>1. Request the most recent audit/assessment report.
2. Verify it was conducted by an approved/qualified party.
3. Confirm submission to CE NACSA within required timeframe.
4. Check that findings are tracked with remediation plans.</t>
        </is>
      </c>
      <c r="G32" s="27" t="inlineStr">
        <is>
          <t>Audit/assessment report; Assessor qualifications/approval; CE submission confirmation; Remediation tracker</t>
        </is>
      </c>
      <c r="H32" s="27" t="inlineStr">
        <is>
          <t>Inspection</t>
        </is>
      </c>
      <c r="I32" s="27" t="inlineStr"/>
      <c r="J32" s="27" t="inlineStr"/>
      <c r="K32" s="27" t="inlineStr"/>
      <c r="L32" s="27" t="inlineStr"/>
      <c r="M32" s="27" t="inlineStr"/>
      <c r="N32" s="27" t="inlineStr"/>
    </row>
    <row r="33">
      <c r="A33" s="7" t="inlineStr">
        <is>
          <t>16.2.2.3</t>
        </is>
      </c>
      <c r="B33" s="7" t="inlineStr">
        <is>
          <t>NACSA-16.2.2c-NCII-SYS-003</t>
        </is>
      </c>
      <c r="C33" s="7" t="inlineStr"/>
      <c r="D33" s="7" t="inlineStr"/>
      <c r="E33" s="7" t="inlineStr">
        <is>
          <t>[System 3]: The NCII entity shall ensure that vulnerability assessments shall be performed by authorised cyber s...</t>
        </is>
      </c>
      <c r="F33" s="7" t="inlineStr">
        <is>
          <t>1. Request the most recent audit/assessment report.
2. Verify it was conducted by an approved/qualified party.
3. Confirm submission to CE NACSA within required timeframe.
4. Check that findings are tracked with remediation plans.</t>
        </is>
      </c>
      <c r="G33" s="7" t="inlineStr">
        <is>
          <t>Audit/assessment report; Assessor qualifications/approval; CE submission confirmation; Remediation tracker</t>
        </is>
      </c>
      <c r="H33" s="7" t="inlineStr">
        <is>
          <t>Inspection</t>
        </is>
      </c>
      <c r="I33" s="7" t="inlineStr"/>
      <c r="J33" s="7" t="inlineStr"/>
      <c r="K33" s="7" t="inlineStr"/>
      <c r="L33" s="7" t="inlineStr"/>
      <c r="M33" s="7" t="inlineStr"/>
      <c r="N33" s="7" t="inlineStr"/>
    </row>
    <row r="34">
      <c r="A34" s="29" t="inlineStr">
        <is>
          <t>16.2.3</t>
        </is>
      </c>
      <c r="B34" s="29" t="inlineStr">
        <is>
          <t>NACSA-16.2.3-NCII-SYS-001</t>
        </is>
      </c>
      <c r="C34" s="29" t="inlineStr">
        <is>
          <t>SYSTEM</t>
        </is>
      </c>
      <c r="D34" s="29" t="inlineStr">
        <is>
          <t>Monitor and Track</t>
        </is>
      </c>
      <c r="E34" s="29" t="inlineStr">
        <is>
          <t>[System 1]: Assess 1 mandatory requirement(s)</t>
        </is>
      </c>
      <c r="F34" s="29" t="inlineStr"/>
      <c r="G34" s="29" t="inlineStr"/>
      <c r="H34" s="29" t="inlineStr"/>
      <c r="I34" s="29" t="inlineStr"/>
      <c r="J34" s="29" t="inlineStr"/>
      <c r="K34" s="29" t="inlineStr"/>
      <c r="L34" s="29" t="inlineStr"/>
      <c r="M34" s="26" t="inlineStr"/>
      <c r="N34" s="26" t="inlineStr"/>
    </row>
    <row r="35">
      <c r="A35" s="28" t="inlineStr">
        <is>
          <t>16.2.3.1</t>
        </is>
      </c>
      <c r="B35" s="28" t="inlineStr">
        <is>
          <t>NACSA-16.2.3a-NCII-SYS-001</t>
        </is>
      </c>
      <c r="C35" s="28" t="inlineStr"/>
      <c r="D35" s="28" t="inlineStr"/>
      <c r="E35" s="28" t="inlineStr">
        <is>
          <t>[System 1]: All identified vulnerabilities shall be managed and remediated through a structured risk-based remed...</t>
        </is>
      </c>
      <c r="F35" s="28" t="inlineStr">
        <is>
          <t>1. Request training plan and records for the assessment period.
2. Verify training content covers required topics per CoP clause.
3. Check completion rates (target: 100% for mandatory training).
4. Review effectiveness evaluation results (post-training assessments).</t>
        </is>
      </c>
      <c r="G35" s="28" t="inlineStr">
        <is>
          <t>Training plan; Completion records/LMS reports; Assessment results; Training materials</t>
        </is>
      </c>
      <c r="H35" s="28" t="inlineStr">
        <is>
          <t>Inspection</t>
        </is>
      </c>
      <c r="I35" s="28" t="inlineStr"/>
      <c r="J35" s="28" t="inlineStr"/>
      <c r="K35" s="28" t="inlineStr"/>
      <c r="L35" s="28" t="inlineStr"/>
      <c r="M35" s="28" t="inlineStr"/>
      <c r="N35" s="28" t="inlineStr"/>
    </row>
    <row r="36">
      <c r="A36" s="29" t="inlineStr">
        <is>
          <t>16.2.3</t>
        </is>
      </c>
      <c r="B36" s="29" t="inlineStr">
        <is>
          <t>NACSA-16.2.3-NCII-SYS-002</t>
        </is>
      </c>
      <c r="C36" s="29" t="inlineStr">
        <is>
          <t>SYSTEM</t>
        </is>
      </c>
      <c r="D36" s="29" t="inlineStr">
        <is>
          <t>Monitor and Track</t>
        </is>
      </c>
      <c r="E36" s="29" t="inlineStr">
        <is>
          <t>[System 2]: Assess 1 mandatory requirement(s)</t>
        </is>
      </c>
      <c r="F36" s="29" t="inlineStr"/>
      <c r="G36" s="29" t="inlineStr"/>
      <c r="H36" s="29" t="inlineStr"/>
      <c r="I36" s="29" t="inlineStr"/>
      <c r="J36" s="29" t="inlineStr"/>
      <c r="K36" s="29" t="inlineStr"/>
      <c r="L36" s="29" t="inlineStr"/>
      <c r="M36" s="26" t="inlineStr"/>
      <c r="N36" s="26" t="inlineStr"/>
    </row>
    <row r="37">
      <c r="A37" s="7" t="inlineStr">
        <is>
          <t>16.2.3.1</t>
        </is>
      </c>
      <c r="B37" s="7" t="inlineStr">
        <is>
          <t>NACSA-16.2.3a-NCII-SYS-002</t>
        </is>
      </c>
      <c r="C37" s="7" t="inlineStr"/>
      <c r="D37" s="7" t="inlineStr"/>
      <c r="E37" s="7" t="inlineStr">
        <is>
          <t>[System 2]: All identified vulnerabilities shall be managed and remediated through a structured risk-based remed...</t>
        </is>
      </c>
      <c r="F37" s="7" t="inlineStr">
        <is>
          <t>1. Request training plan and records for the assessment period.
2. Verify training content covers required topics per CoP clause.
3. Check completion rates (target: 100% for mandatory training).
4. Review effectiveness evaluation results (post-training assessments).</t>
        </is>
      </c>
      <c r="G37" s="7" t="inlineStr">
        <is>
          <t>Training plan; Completion records/LMS reports; Assessment results; Training materials</t>
        </is>
      </c>
      <c r="H37" s="7" t="inlineStr">
        <is>
          <t>Inspection</t>
        </is>
      </c>
      <c r="I37" s="7" t="inlineStr"/>
      <c r="J37" s="7" t="inlineStr"/>
      <c r="K37" s="7" t="inlineStr"/>
      <c r="L37" s="7" t="inlineStr"/>
      <c r="M37" s="7" t="inlineStr"/>
      <c r="N37" s="7" t="inlineStr"/>
    </row>
    <row r="38">
      <c r="A38" s="29" t="inlineStr">
        <is>
          <t>16.2.3</t>
        </is>
      </c>
      <c r="B38" s="29" t="inlineStr">
        <is>
          <t>NACSA-16.2.3-NCII-SYS-003</t>
        </is>
      </c>
      <c r="C38" s="29" t="inlineStr">
        <is>
          <t>SYSTEM</t>
        </is>
      </c>
      <c r="D38" s="29" t="inlineStr">
        <is>
          <t>Monitor and Track</t>
        </is>
      </c>
      <c r="E38" s="29" t="inlineStr">
        <is>
          <t>[System 3]: Assess 1 mandatory requirement(s)</t>
        </is>
      </c>
      <c r="F38" s="29" t="inlineStr"/>
      <c r="G38" s="29" t="inlineStr"/>
      <c r="H38" s="29" t="inlineStr"/>
      <c r="I38" s="29" t="inlineStr"/>
      <c r="J38" s="29" t="inlineStr"/>
      <c r="K38" s="29" t="inlineStr"/>
      <c r="L38" s="29" t="inlineStr"/>
      <c r="M38" s="26" t="inlineStr"/>
      <c r="N38" s="26" t="inlineStr"/>
    </row>
    <row r="39">
      <c r="A39" s="28" t="inlineStr">
        <is>
          <t>16.2.3.1</t>
        </is>
      </c>
      <c r="B39" s="28" t="inlineStr">
        <is>
          <t>NACSA-16.2.3a-NCII-SYS-003</t>
        </is>
      </c>
      <c r="C39" s="28" t="inlineStr"/>
      <c r="D39" s="28" t="inlineStr"/>
      <c r="E39" s="28" t="inlineStr">
        <is>
          <t>[System 3]: All identified vulnerabilities shall be managed and remediated through a structured risk-based remed...</t>
        </is>
      </c>
      <c r="F39" s="28" t="inlineStr">
        <is>
          <t>1. Request training plan and records for the assessment period.
2. Verify training content covers required topics per CoP clause.
3. Check completion rates (target: 100% for mandatory training).
4. Review effectiveness evaluation results (post-training assessments).</t>
        </is>
      </c>
      <c r="G39" s="28" t="inlineStr">
        <is>
          <t>Training plan; Completion records/LMS reports; Assessment results; Training materials</t>
        </is>
      </c>
      <c r="H39" s="28" t="inlineStr">
        <is>
          <t>Inspection</t>
        </is>
      </c>
      <c r="I39" s="28" t="inlineStr"/>
      <c r="J39" s="28" t="inlineStr"/>
      <c r="K39" s="28" t="inlineStr"/>
      <c r="L39" s="28" t="inlineStr"/>
      <c r="M39" s="28" t="inlineStr"/>
      <c r="N39" s="28" t="inlineStr"/>
    </row>
    <row r="40">
      <c r="A40" s="29" t="inlineStr">
        <is>
          <t>16.2.4</t>
        </is>
      </c>
      <c r="B40" s="29" t="inlineStr">
        <is>
          <t>NACSA-16.2.4-NCII-SYS-001</t>
        </is>
      </c>
      <c r="C40" s="29" t="inlineStr">
        <is>
          <t>SYSTEM</t>
        </is>
      </c>
      <c r="D40" s="29" t="inlineStr">
        <is>
          <t>Evaluate</t>
        </is>
      </c>
      <c r="E40" s="29" t="inlineStr">
        <is>
          <t>[System 1]: Assess 1 mandatory requirement(s)</t>
        </is>
      </c>
      <c r="F40" s="29" t="inlineStr"/>
      <c r="G40" s="29" t="inlineStr"/>
      <c r="H40" s="29" t="inlineStr"/>
      <c r="I40" s="29" t="inlineStr"/>
      <c r="J40" s="29" t="inlineStr"/>
      <c r="K40" s="29" t="inlineStr"/>
      <c r="L40" s="29" t="inlineStr"/>
      <c r="M40" s="26" t="inlineStr"/>
      <c r="N40" s="26" t="inlineStr"/>
    </row>
    <row r="41">
      <c r="A41" s="7" t="inlineStr">
        <is>
          <t>16.2.4.1</t>
        </is>
      </c>
      <c r="B41" s="7" t="inlineStr">
        <is>
          <t>NACSA-16.2.4a-NCII-SYS-001</t>
        </is>
      </c>
      <c r="C41" s="7" t="inlineStr"/>
      <c r="D41" s="7" t="inlineStr"/>
      <c r="E41" s="7" t="inlineStr">
        <is>
          <t>[System 1]: Identified vulnerabilities shall be evaluated using following methods:
- Determine their severity us...</t>
        </is>
      </c>
      <c r="F41" s="7" t="inlineStr">
        <is>
          <t>1. Request the most recent audit/assessment report.
2. Verify it was conducted by an approved/qualified party.
3. Confirm submission to CE NACSA within required timeframe.
4. Check that findings are tracked with remediation plans.</t>
        </is>
      </c>
      <c r="G41" s="7" t="inlineStr">
        <is>
          <t>Audit/assessment report; Assessor qualifications/approval; CE submission confirmation; Remediation tracker</t>
        </is>
      </c>
      <c r="H41" s="7" t="inlineStr">
        <is>
          <t>Inspection</t>
        </is>
      </c>
      <c r="I41" s="7" t="inlineStr"/>
      <c r="J41" s="7" t="inlineStr"/>
      <c r="K41" s="7" t="inlineStr"/>
      <c r="L41" s="7" t="inlineStr"/>
      <c r="M41" s="7" t="inlineStr"/>
      <c r="N41" s="7" t="inlineStr"/>
    </row>
    <row r="42">
      <c r="A42" s="29" t="inlineStr">
        <is>
          <t>16.2.4</t>
        </is>
      </c>
      <c r="B42" s="29" t="inlineStr">
        <is>
          <t>NACSA-16.2.4-NCII-SYS-002</t>
        </is>
      </c>
      <c r="C42" s="29" t="inlineStr">
        <is>
          <t>SYSTEM</t>
        </is>
      </c>
      <c r="D42" s="29" t="inlineStr">
        <is>
          <t>Evaluate</t>
        </is>
      </c>
      <c r="E42" s="29" t="inlineStr">
        <is>
          <t>[System 2]: Assess 1 mandatory requirement(s)</t>
        </is>
      </c>
      <c r="F42" s="29" t="inlineStr"/>
      <c r="G42" s="29" t="inlineStr"/>
      <c r="H42" s="29" t="inlineStr"/>
      <c r="I42" s="29" t="inlineStr"/>
      <c r="J42" s="29" t="inlineStr"/>
      <c r="K42" s="29" t="inlineStr"/>
      <c r="L42" s="29" t="inlineStr"/>
      <c r="M42" s="26" t="inlineStr"/>
      <c r="N42" s="26" t="inlineStr"/>
    </row>
    <row r="43">
      <c r="A43" s="28" t="inlineStr">
        <is>
          <t>16.2.4.1</t>
        </is>
      </c>
      <c r="B43" s="28" t="inlineStr">
        <is>
          <t>NACSA-16.2.4a-NCII-SYS-002</t>
        </is>
      </c>
      <c r="C43" s="28" t="inlineStr"/>
      <c r="D43" s="28" t="inlineStr"/>
      <c r="E43" s="28" t="inlineStr">
        <is>
          <t>[System 2]: Identified vulnerabilities shall be evaluated using following methods:
- Determine their severity us...</t>
        </is>
      </c>
      <c r="F43" s="28" t="inlineStr">
        <is>
          <t>1. Request the most recent audit/assessment report.
2. Verify it was conducted by an approved/qualified party.
3. Confirm submission to CE NACSA within required timeframe.
4. Check that findings are tracked with remediation plans.</t>
        </is>
      </c>
      <c r="G43" s="28" t="inlineStr">
        <is>
          <t>Audit/assessment report; Assessor qualifications/approval; CE submission confirmation; Remediation tracker</t>
        </is>
      </c>
      <c r="H43" s="28" t="inlineStr">
        <is>
          <t>Inspection</t>
        </is>
      </c>
      <c r="I43" s="28" t="inlineStr"/>
      <c r="J43" s="28" t="inlineStr"/>
      <c r="K43" s="28" t="inlineStr"/>
      <c r="L43" s="28" t="inlineStr"/>
      <c r="M43" s="28" t="inlineStr"/>
      <c r="N43" s="28" t="inlineStr"/>
    </row>
    <row r="44">
      <c r="A44" s="29" t="inlineStr">
        <is>
          <t>16.2.4</t>
        </is>
      </c>
      <c r="B44" s="29" t="inlineStr">
        <is>
          <t>NACSA-16.2.4-NCII-SYS-003</t>
        </is>
      </c>
      <c r="C44" s="29" t="inlineStr">
        <is>
          <t>SYSTEM</t>
        </is>
      </c>
      <c r="D44" s="29" t="inlineStr">
        <is>
          <t>Evaluate</t>
        </is>
      </c>
      <c r="E44" s="29" t="inlineStr">
        <is>
          <t>[System 3]: Assess 1 mandatory requirement(s)</t>
        </is>
      </c>
      <c r="F44" s="29" t="inlineStr"/>
      <c r="G44" s="29" t="inlineStr"/>
      <c r="H44" s="29" t="inlineStr"/>
      <c r="I44" s="29" t="inlineStr"/>
      <c r="J44" s="29" t="inlineStr"/>
      <c r="K44" s="29" t="inlineStr"/>
      <c r="L44" s="29" t="inlineStr"/>
      <c r="M44" s="26" t="inlineStr"/>
      <c r="N44" s="26" t="inlineStr"/>
    </row>
    <row r="45">
      <c r="A45" s="7" t="inlineStr">
        <is>
          <t>16.2.4.1</t>
        </is>
      </c>
      <c r="B45" s="7" t="inlineStr">
        <is>
          <t>NACSA-16.2.4a-NCII-SYS-003</t>
        </is>
      </c>
      <c r="C45" s="7" t="inlineStr"/>
      <c r="D45" s="7" t="inlineStr"/>
      <c r="E45" s="7" t="inlineStr">
        <is>
          <t>[System 3]: Identified vulnerabilities shall be evaluated using following methods:
- Determine their severity us...</t>
        </is>
      </c>
      <c r="F45" s="7" t="inlineStr">
        <is>
          <t>1. Request the most recent audit/assessment report.
2. Verify it was conducted by an approved/qualified party.
3. Confirm submission to CE NACSA within required timeframe.
4. Check that findings are tracked with remediation plans.</t>
        </is>
      </c>
      <c r="G45" s="7" t="inlineStr">
        <is>
          <t>Audit/assessment report; Assessor qualifications/approval; CE submission confirmation; Remediation tracker</t>
        </is>
      </c>
      <c r="H45" s="7" t="inlineStr">
        <is>
          <t>Inspection</t>
        </is>
      </c>
      <c r="I45" s="7" t="inlineStr"/>
      <c r="J45" s="7" t="inlineStr"/>
      <c r="K45" s="7" t="inlineStr"/>
      <c r="L45" s="7" t="inlineStr"/>
      <c r="M45" s="7" t="inlineStr"/>
      <c r="N45" s="7" t="inlineStr"/>
    </row>
  </sheetData>
  <mergeCells count="3">
    <mergeCell ref="A3:N3"/>
    <mergeCell ref="A2:N2"/>
    <mergeCell ref="A15:N15"/>
  </mergeCells>
  <conditionalFormatting sqref="M4:M46">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45"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17.0 — Cyber Security Event Management (Organisation-Level)</t>
        </is>
      </c>
      <c r="B2" s="38" t="n"/>
      <c r="C2" s="38" t="n"/>
      <c r="D2" s="38" t="n"/>
      <c r="E2" s="38" t="n"/>
      <c r="F2" s="38" t="n"/>
      <c r="G2" s="38" t="n"/>
      <c r="H2" s="38" t="n"/>
      <c r="I2" s="38" t="n"/>
      <c r="J2" s="38" t="n"/>
      <c r="K2" s="38" t="n"/>
      <c r="L2" s="38" t="n"/>
      <c r="M2" s="38" t="n"/>
      <c r="N2" s="39" t="n"/>
    </row>
    <row r="3" ht="60" customHeight="1">
      <c r="A3" s="23" t="inlineStr">
        <is>
          <t>WHY: Security monitoring is the detective control that identifies threats in progress. Without monitoring, breaches go undetected — the average dwell time for undetected breaches is 200+ days.
WHAT GOOD LOOKS LIKE: Documented SMP with defined scope and tools (IDPS/SIEM/EDR), threat intelligence integration, MTTD/MTTR KPIs tracked and reported, 24/7 coverage.
KEY RISK IF ABSENT: Undetected intrusions, extended dwell time, inability to meet 6-hour incident notification requirement (s26).</t>
        </is>
      </c>
      <c r="B3" s="38" t="n"/>
      <c r="C3" s="38" t="n"/>
      <c r="D3" s="38" t="n"/>
      <c r="E3" s="38" t="n"/>
      <c r="F3" s="38" t="n"/>
      <c r="G3" s="38" t="n"/>
      <c r="H3" s="38" t="n"/>
      <c r="I3" s="38" t="n"/>
      <c r="J3" s="38" t="n"/>
      <c r="K3" s="38" t="n"/>
      <c r="L3" s="38" t="n"/>
      <c r="M3" s="38" t="n"/>
      <c r="N3" s="39" t="n"/>
    </row>
    <row r="4">
      <c r="A4" s="25" t="inlineStr">
        <is>
          <t>17.1.1</t>
        </is>
      </c>
      <c r="B4" s="25" t="inlineStr">
        <is>
          <t>NACSA-17.1.1</t>
        </is>
      </c>
      <c r="C4" s="25" t="inlineStr">
        <is>
          <t>ORG</t>
        </is>
      </c>
      <c r="D4" s="25" t="inlineStr">
        <is>
          <t>Establishment of Security Monitoring Procedure (SMP)</t>
        </is>
      </c>
      <c r="E4" s="25" t="inlineStr">
        <is>
          <t>Assess 1 mandatory requirement(s)</t>
        </is>
      </c>
      <c r="F4" s="25" t="inlineStr"/>
      <c r="G4" s="25" t="inlineStr"/>
      <c r="H4" s="25" t="inlineStr"/>
      <c r="I4" s="25" t="inlineStr"/>
      <c r="J4" s="25" t="inlineStr"/>
      <c r="K4" s="25" t="inlineStr"/>
      <c r="L4" s="25" t="inlineStr"/>
      <c r="M4" s="26" t="inlineStr"/>
      <c r="N4" s="26" t="inlineStr"/>
    </row>
    <row r="5">
      <c r="A5" s="7" t="inlineStr">
        <is>
          <t>17.1.1.1</t>
        </is>
      </c>
      <c r="B5" s="7" t="inlineStr">
        <is>
          <t>NACSA-17.1.1a</t>
        </is>
      </c>
      <c r="C5" s="7" t="inlineStr"/>
      <c r="D5" s="7" t="inlineStr"/>
      <c r="E5" s="7" t="inlineStr">
        <is>
          <t>The NCII entity shall establish a Security Monitoring Procedure (SMP) that outlines:
- The objectives of security monito...</t>
        </is>
      </c>
      <c r="F5" s="7" t="inlineStr">
        <is>
          <t>1. Request the current procedure document with approval records.
2. Verify it is formally approved by the governance committee or top management (check signatures, dates).
3. Confirm it addresses all elements specified in this clause.
4. Verify version control is maintained with change history.</t>
        </is>
      </c>
      <c r="G5" s="7" t="inlineStr">
        <is>
          <t>Approved policy/procedure document; Committee approval record; Version history</t>
        </is>
      </c>
      <c r="H5" s="7" t="inlineStr">
        <is>
          <t>Inspection</t>
        </is>
      </c>
      <c r="I5" s="7" t="inlineStr"/>
      <c r="J5" s="7" t="inlineStr"/>
      <c r="K5" s="7" t="inlineStr"/>
      <c r="L5" s="7" t="inlineStr"/>
      <c r="M5" s="7" t="inlineStr"/>
      <c r="N5" s="7" t="inlineStr"/>
    </row>
    <row r="6">
      <c r="A6" s="25" t="inlineStr">
        <is>
          <t>17.1.3</t>
        </is>
      </c>
      <c r="B6" s="25" t="inlineStr">
        <is>
          <t>NACSA-17.1.3</t>
        </is>
      </c>
      <c r="C6" s="25" t="inlineStr">
        <is>
          <t>ORG</t>
        </is>
      </c>
      <c r="D6" s="25" t="inlineStr">
        <is>
          <t>Review of Security Monitoring Procedure</t>
        </is>
      </c>
      <c r="E6" s="25" t="inlineStr">
        <is>
          <t>Assess 1 mandatory requirement(s)</t>
        </is>
      </c>
      <c r="F6" s="25" t="inlineStr"/>
      <c r="G6" s="25" t="inlineStr"/>
      <c r="H6" s="25" t="inlineStr"/>
      <c r="I6" s="25" t="inlineStr"/>
      <c r="J6" s="25" t="inlineStr"/>
      <c r="K6" s="25" t="inlineStr"/>
      <c r="L6" s="25" t="inlineStr"/>
      <c r="M6" s="26" t="inlineStr"/>
      <c r="N6" s="26" t="inlineStr"/>
    </row>
    <row r="7">
      <c r="A7" s="28" t="inlineStr">
        <is>
          <t>17.1.3.1</t>
        </is>
      </c>
      <c r="B7" s="28" t="inlineStr">
        <is>
          <t>NACSA-17.1.3a</t>
        </is>
      </c>
      <c r="C7" s="28" t="inlineStr"/>
      <c r="D7" s="28" t="inlineStr"/>
      <c r="E7" s="28" t="inlineStr">
        <is>
          <t>The SMP shall undergo regular reviews annually, and / or whenever necessary to maintain its effectiveness, through:
- An...</t>
        </is>
      </c>
      <c r="F7" s="28"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7" s="28" t="inlineStr">
        <is>
          <t>Review report/minutes; Updated document post-review; Approval of changes</t>
        </is>
      </c>
      <c r="H7" s="28" t="inlineStr">
        <is>
          <t>Inspection</t>
        </is>
      </c>
      <c r="I7" s="28" t="inlineStr"/>
      <c r="J7" s="28" t="inlineStr"/>
      <c r="K7" s="28" t="inlineStr"/>
      <c r="L7" s="28" t="inlineStr"/>
      <c r="M7" s="28" t="inlineStr"/>
      <c r="N7" s="28" t="inlineStr"/>
    </row>
    <row r="8"/>
    <row r="9">
      <c r="A9" s="21" t="inlineStr">
        <is>
          <t>CoP 17.0 — Cyber Security Event Management (System-Level: per NCII system)</t>
        </is>
      </c>
      <c r="B9" s="38" t="n"/>
      <c r="C9" s="38" t="n"/>
      <c r="D9" s="38" t="n"/>
      <c r="E9" s="38" t="n"/>
      <c r="F9" s="38" t="n"/>
      <c r="G9" s="38" t="n"/>
      <c r="H9" s="38" t="n"/>
      <c r="I9" s="38" t="n"/>
      <c r="J9" s="38" t="n"/>
      <c r="K9" s="38" t="n"/>
      <c r="L9" s="38" t="n"/>
      <c r="M9" s="38" t="n"/>
      <c r="N9" s="39" t="n"/>
    </row>
    <row r="10">
      <c r="A10" s="29" t="inlineStr">
        <is>
          <t>17.1.2</t>
        </is>
      </c>
      <c r="B10" s="29" t="inlineStr">
        <is>
          <t>NACSA-17.1.2-NCII-SYS-001</t>
        </is>
      </c>
      <c r="C10" s="29" t="inlineStr">
        <is>
          <t>SYSTEM</t>
        </is>
      </c>
      <c r="D10" s="29" t="inlineStr">
        <is>
          <t>Compliance Monitoring</t>
        </is>
      </c>
      <c r="E10" s="29" t="inlineStr">
        <is>
          <t>[System 1]: Assess 1 mandatory requirement(s)</t>
        </is>
      </c>
      <c r="F10" s="29" t="inlineStr"/>
      <c r="G10" s="29" t="inlineStr"/>
      <c r="H10" s="29" t="inlineStr"/>
      <c r="I10" s="29" t="inlineStr"/>
      <c r="J10" s="29" t="inlineStr"/>
      <c r="K10" s="29" t="inlineStr"/>
      <c r="L10" s="29" t="inlineStr"/>
      <c r="M10" s="26" t="inlineStr"/>
      <c r="N10" s="26" t="inlineStr"/>
    </row>
    <row r="11">
      <c r="A11" s="7" t="inlineStr">
        <is>
          <t>17.1.2.1</t>
        </is>
      </c>
      <c r="B11" s="7" t="inlineStr">
        <is>
          <t>NACSA-17.1.2a-NCII-SYS-001</t>
        </is>
      </c>
      <c r="C11" s="7" t="inlineStr"/>
      <c r="D11" s="7" t="inlineStr"/>
      <c r="E11" s="7" t="inlineStr">
        <is>
          <t>[System 1]: Compliance with the SMP shall be monitored through:
- Regular audits to verify the consistent implem...</t>
        </is>
      </c>
      <c r="F11" s="7" t="inlineStr">
        <is>
          <t>1. Request the most recent audit/assessment report.
2. Verify it was conducted by an approved/qualified party.
3. Confirm submission to CE NACSA within required timeframe.
4. Check that findings are tracked with remediation plans.</t>
        </is>
      </c>
      <c r="G11" s="7" t="inlineStr">
        <is>
          <t>Audit/assessment report; Assessor qualifications/approval; CE submission confirmation; Remediation tracker</t>
        </is>
      </c>
      <c r="H11" s="7" t="inlineStr">
        <is>
          <t>Inspection</t>
        </is>
      </c>
      <c r="I11" s="7" t="inlineStr"/>
      <c r="J11" s="7" t="inlineStr"/>
      <c r="K11" s="7" t="inlineStr"/>
      <c r="L11" s="7" t="inlineStr"/>
      <c r="M11" s="7" t="inlineStr"/>
      <c r="N11" s="7" t="inlineStr"/>
    </row>
    <row r="12">
      <c r="A12" s="29" t="inlineStr">
        <is>
          <t>17.1.2</t>
        </is>
      </c>
      <c r="B12" s="29" t="inlineStr">
        <is>
          <t>NACSA-17.1.2-NCII-SYS-002</t>
        </is>
      </c>
      <c r="C12" s="29" t="inlineStr">
        <is>
          <t>SYSTEM</t>
        </is>
      </c>
      <c r="D12" s="29" t="inlineStr">
        <is>
          <t>Compliance Monitoring</t>
        </is>
      </c>
      <c r="E12" s="29" t="inlineStr">
        <is>
          <t>[System 2]: Assess 1 mandatory requirement(s)</t>
        </is>
      </c>
      <c r="F12" s="29" t="inlineStr"/>
      <c r="G12" s="29" t="inlineStr"/>
      <c r="H12" s="29" t="inlineStr"/>
      <c r="I12" s="29" t="inlineStr"/>
      <c r="J12" s="29" t="inlineStr"/>
      <c r="K12" s="29" t="inlineStr"/>
      <c r="L12" s="29" t="inlineStr"/>
      <c r="M12" s="26" t="inlineStr"/>
      <c r="N12" s="26" t="inlineStr"/>
    </row>
    <row r="13">
      <c r="A13" s="28" t="inlineStr">
        <is>
          <t>17.1.2.1</t>
        </is>
      </c>
      <c r="B13" s="28" t="inlineStr">
        <is>
          <t>NACSA-17.1.2a-NCII-SYS-002</t>
        </is>
      </c>
      <c r="C13" s="28" t="inlineStr"/>
      <c r="D13" s="28" t="inlineStr"/>
      <c r="E13" s="28" t="inlineStr">
        <is>
          <t>[System 2]: Compliance with the SMP shall be monitored through:
- Regular audits to verify the consistent implem...</t>
        </is>
      </c>
      <c r="F13" s="28" t="inlineStr">
        <is>
          <t>1. Request the most recent audit/assessment report.
2. Verify it was conducted by an approved/qualified party.
3. Confirm submission to CE NACSA within required timeframe.
4. Check that findings are tracked with remediation plans.</t>
        </is>
      </c>
      <c r="G13" s="28" t="inlineStr">
        <is>
          <t>Audit/assessment report; Assessor qualifications/approval; CE submission confirmation; Remediation tracker</t>
        </is>
      </c>
      <c r="H13" s="28" t="inlineStr">
        <is>
          <t>Inspection</t>
        </is>
      </c>
      <c r="I13" s="28" t="inlineStr"/>
      <c r="J13" s="28" t="inlineStr"/>
      <c r="K13" s="28" t="inlineStr"/>
      <c r="L13" s="28" t="inlineStr"/>
      <c r="M13" s="28" t="inlineStr"/>
      <c r="N13" s="28" t="inlineStr"/>
    </row>
    <row r="14">
      <c r="A14" s="29" t="inlineStr">
        <is>
          <t>17.1.2</t>
        </is>
      </c>
      <c r="B14" s="29" t="inlineStr">
        <is>
          <t>NACSA-17.1.2-NCII-SYS-003</t>
        </is>
      </c>
      <c r="C14" s="29" t="inlineStr">
        <is>
          <t>SYSTEM</t>
        </is>
      </c>
      <c r="D14" s="29" t="inlineStr">
        <is>
          <t>Compliance Monitoring</t>
        </is>
      </c>
      <c r="E14" s="29" t="inlineStr">
        <is>
          <t>[System 3]: Assess 1 mandatory requirement(s)</t>
        </is>
      </c>
      <c r="F14" s="29" t="inlineStr"/>
      <c r="G14" s="29" t="inlineStr"/>
      <c r="H14" s="29" t="inlineStr"/>
      <c r="I14" s="29" t="inlineStr"/>
      <c r="J14" s="29" t="inlineStr"/>
      <c r="K14" s="29" t="inlineStr"/>
      <c r="L14" s="29" t="inlineStr"/>
      <c r="M14" s="26" t="inlineStr"/>
      <c r="N14" s="26" t="inlineStr"/>
    </row>
    <row r="15">
      <c r="A15" s="7" t="inlineStr">
        <is>
          <t>17.1.2.1</t>
        </is>
      </c>
      <c r="B15" s="7" t="inlineStr">
        <is>
          <t>NACSA-17.1.2a-NCII-SYS-003</t>
        </is>
      </c>
      <c r="C15" s="7" t="inlineStr"/>
      <c r="D15" s="7" t="inlineStr"/>
      <c r="E15" s="7" t="inlineStr">
        <is>
          <t>[System 3]: Compliance with the SMP shall be monitored through:
- Regular audits to verify the consistent implem...</t>
        </is>
      </c>
      <c r="F15" s="7" t="inlineStr">
        <is>
          <t>1. Request the most recent audit/assessment report.
2. Verify it was conducted by an approved/qualified party.
3. Confirm submission to CE NACSA within required timeframe.
4. Check that findings are tracked with remediation plans.</t>
        </is>
      </c>
      <c r="G15" s="7" t="inlineStr">
        <is>
          <t>Audit/assessment report; Assessor qualifications/approval; CE submission confirmation; Remediation tracker</t>
        </is>
      </c>
      <c r="H15" s="7" t="inlineStr">
        <is>
          <t>Inspection</t>
        </is>
      </c>
      <c r="I15" s="7" t="inlineStr"/>
      <c r="J15" s="7" t="inlineStr"/>
      <c r="K15" s="7" t="inlineStr"/>
      <c r="L15" s="7" t="inlineStr"/>
      <c r="M15" s="7" t="inlineStr"/>
      <c r="N15" s="7" t="inlineStr"/>
    </row>
  </sheetData>
  <mergeCells count="3">
    <mergeCell ref="A9:N9"/>
    <mergeCell ref="A3:N3"/>
    <mergeCell ref="A2:N2"/>
  </mergeCells>
  <conditionalFormatting sqref="M4:M16">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15"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18.0 — Cyber Security Incident Management (Organisation-Level)</t>
        </is>
      </c>
      <c r="B2" s="38" t="n"/>
      <c r="C2" s="38" t="n"/>
      <c r="D2" s="38" t="n"/>
      <c r="E2" s="38" t="n"/>
      <c r="F2" s="38" t="n"/>
      <c r="G2" s="38" t="n"/>
      <c r="H2" s="38" t="n"/>
      <c r="I2" s="38" t="n"/>
      <c r="J2" s="38" t="n"/>
      <c r="K2" s="38" t="n"/>
      <c r="L2" s="38" t="n"/>
      <c r="M2" s="38" t="n"/>
      <c r="N2" s="39" t="n"/>
    </row>
    <row r="3" ht="60" customHeight="1">
      <c r="A3" s="23" t="inlineStr">
        <is>
          <t>WHY: Incident management is critical — Act 854 requires 6-hour notification to CE for significant incidents (s26). The CSIRT, NC4 portal access, and tested playbooks determine whether the entity can respond in time.
WHAT GOOD LOOKS LIKE: CSIMP covering Plan/Detect/Respond/Update, designated CSIRT with 3 authorised persons, NC4 portal operational, 6-hour notification tabletop tested, forensic capability, post-incident review.
KEY RISK IF ABSENT: Missed 6-hour notification window (s26 penalty with daily compounding RM5,000), uncoordinated response, evidence destruction, prolonged recovery.</t>
        </is>
      </c>
      <c r="B3" s="38" t="n"/>
      <c r="C3" s="38" t="n"/>
      <c r="D3" s="38" t="n"/>
      <c r="E3" s="38" t="n"/>
      <c r="F3" s="38" t="n"/>
      <c r="G3" s="38" t="n"/>
      <c r="H3" s="38" t="n"/>
      <c r="I3" s="38" t="n"/>
      <c r="J3" s="38" t="n"/>
      <c r="K3" s="38" t="n"/>
      <c r="L3" s="38" t="n"/>
      <c r="M3" s="38" t="n"/>
      <c r="N3" s="39" t="n"/>
    </row>
    <row r="4">
      <c r="A4" s="25" t="inlineStr">
        <is>
          <t>18.1.1</t>
        </is>
      </c>
      <c r="B4" s="25" t="inlineStr">
        <is>
          <t>NACSA-18.1.1</t>
        </is>
      </c>
      <c r="C4" s="25" t="inlineStr">
        <is>
          <t>ORG</t>
        </is>
      </c>
      <c r="D4" s="25" t="inlineStr">
        <is>
          <t>Establishment of Cyber Security Incident Management Procedure</t>
        </is>
      </c>
      <c r="E4" s="25" t="inlineStr">
        <is>
          <t>Assess 1 mandatory requirement(s)</t>
        </is>
      </c>
      <c r="F4" s="25" t="inlineStr"/>
      <c r="G4" s="25" t="inlineStr"/>
      <c r="H4" s="25" t="inlineStr"/>
      <c r="I4" s="25" t="inlineStr"/>
      <c r="J4" s="25" t="inlineStr"/>
      <c r="K4" s="25" t="inlineStr"/>
      <c r="L4" s="25" t="inlineStr"/>
      <c r="M4" s="26" t="inlineStr"/>
      <c r="N4" s="26" t="inlineStr"/>
    </row>
    <row r="5">
      <c r="A5" s="7" t="inlineStr">
        <is>
          <t>18.1.1.1</t>
        </is>
      </c>
      <c r="B5" s="7" t="inlineStr">
        <is>
          <t>NACSA-18.1.1a</t>
        </is>
      </c>
      <c r="C5" s="7" t="inlineStr"/>
      <c r="D5" s="7" t="inlineStr"/>
      <c r="E5" s="7" t="inlineStr">
        <is>
          <t>The NCII entity shall establish a Cyber Security Incident Management Procedure (CSIMP) to ensure effective detection, re...</t>
        </is>
      </c>
      <c r="F5" s="7" t="inlineStr">
        <is>
          <t>1. Request the current procedure document with approval records.
2. Verify it is formally approved by the governance committee or top management (check signatures, dates).
3. Confirm it addresses all elements specified in this clause.
4. Verify version control is maintained with change history.</t>
        </is>
      </c>
      <c r="G5" s="7" t="inlineStr">
        <is>
          <t>Approved policy/procedure document; Committee approval record; Version history</t>
        </is>
      </c>
      <c r="H5" s="7" t="inlineStr">
        <is>
          <t>Inspection</t>
        </is>
      </c>
      <c r="I5" s="7" t="inlineStr"/>
      <c r="J5" s="7" t="inlineStr"/>
      <c r="K5" s="7" t="inlineStr"/>
      <c r="L5" s="7" t="inlineStr"/>
      <c r="M5" s="7" t="inlineStr"/>
      <c r="N5" s="7" t="inlineStr"/>
    </row>
    <row r="6">
      <c r="A6" s="25" t="inlineStr">
        <is>
          <t>18.1.3</t>
        </is>
      </c>
      <c r="B6" s="25" t="inlineStr">
        <is>
          <t>NACSA-18.1.3</t>
        </is>
      </c>
      <c r="C6" s="25" t="inlineStr">
        <is>
          <t>ORG</t>
        </is>
      </c>
      <c r="D6" s="25" t="inlineStr">
        <is>
          <t>Review of Cyber Security Incident Management Procedure</t>
        </is>
      </c>
      <c r="E6" s="25" t="inlineStr">
        <is>
          <t>Assess 4 mandatory requirement(s)</t>
        </is>
      </c>
      <c r="F6" s="25" t="inlineStr"/>
      <c r="G6" s="25" t="inlineStr"/>
      <c r="H6" s="25" t="inlineStr"/>
      <c r="I6" s="25" t="inlineStr"/>
      <c r="J6" s="25" t="inlineStr"/>
      <c r="K6" s="25" t="inlineStr"/>
      <c r="L6" s="25" t="inlineStr"/>
      <c r="M6" s="26" t="inlineStr"/>
      <c r="N6" s="26" t="inlineStr"/>
    </row>
    <row r="7">
      <c r="A7" s="28" t="inlineStr">
        <is>
          <t>18.1.3.1</t>
        </is>
      </c>
      <c r="B7" s="28" t="inlineStr">
        <is>
          <t>NACSA-18.1.3a</t>
        </is>
      </c>
      <c r="C7" s="28" t="inlineStr"/>
      <c r="D7" s="28" t="inlineStr"/>
      <c r="E7" s="28" t="inlineStr">
        <is>
          <t>The NCII entity shall conduct reviews of the CSIMP annually and / or whenever changes occur to ensure it remains relevan...</t>
        </is>
      </c>
      <c r="F7" s="28"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7" s="28" t="inlineStr">
        <is>
          <t>Review report/minutes; Updated document post-review; Approval of changes</t>
        </is>
      </c>
      <c r="H7" s="28" t="inlineStr">
        <is>
          <t>Inspection</t>
        </is>
      </c>
      <c r="I7" s="28" t="inlineStr"/>
      <c r="J7" s="28" t="inlineStr"/>
      <c r="K7" s="28" t="inlineStr"/>
      <c r="L7" s="28" t="inlineStr"/>
      <c r="M7" s="28" t="inlineStr"/>
      <c r="N7" s="28" t="inlineStr"/>
    </row>
    <row r="8">
      <c r="A8" s="7" t="inlineStr">
        <is>
          <t>18.1.3.2</t>
        </is>
      </c>
      <c r="B8" s="7" t="inlineStr">
        <is>
          <t>NACSA-18.1.3b</t>
        </is>
      </c>
      <c r="C8" s="7" t="inlineStr"/>
      <c r="D8" s="7" t="inlineStr"/>
      <c r="E8" s="7" t="inlineStr">
        <is>
          <t>The CSIMP shall be aligned with regulatory requirements and industry standards, including ISO/IEC 27035: Information Sec...</t>
        </is>
      </c>
      <c r="F8" s="7" t="inlineStr">
        <is>
          <t>1. Request NDA templates and signed NDA samples.
2. Verify NDA templates cover required parties.
3. Sample 10 NDAs — confirm signed before information exchange.
4. Check NDA compliance monitoring records.</t>
        </is>
      </c>
      <c r="G8" s="7" t="inlineStr">
        <is>
          <t>NDA templates; Signed NDA samples; Compliance monitoring records</t>
        </is>
      </c>
      <c r="H8" s="7" t="inlineStr">
        <is>
          <t>Inspection</t>
        </is>
      </c>
      <c r="I8" s="7" t="inlineStr"/>
      <c r="J8" s="7" t="inlineStr"/>
      <c r="K8" s="7" t="inlineStr"/>
      <c r="L8" s="7" t="inlineStr"/>
      <c r="M8" s="7" t="inlineStr"/>
      <c r="N8" s="7" t="inlineStr"/>
    </row>
    <row r="9">
      <c r="A9" s="28" t="inlineStr">
        <is>
          <t>18.1.3.3</t>
        </is>
      </c>
      <c r="B9" s="28" t="inlineStr">
        <is>
          <t>NACSA-18.1.3c</t>
        </is>
      </c>
      <c r="C9" s="28" t="inlineStr"/>
      <c r="D9" s="28" t="inlineStr"/>
      <c r="E9" s="28" t="inlineStr">
        <is>
          <t>Reviews shall incorporate feedback from IT, legal, and other relevant stakeholders to continuously improve processes.</t>
        </is>
      </c>
      <c r="F9" s="28" t="inlineStr">
        <is>
          <t>1. Request evidence of communication to stakeholders — emails, portal announcements, signed acknowledgements.
2. Sample 10 acknowledgement records to verify staff received and understood the communication.
3. Verify communication covers all relevant parties including contractors and third parties with NCII access.
4. Check the communication is current (not an outdated version).</t>
        </is>
      </c>
      <c r="G9" s="28" t="inlineStr">
        <is>
          <t>Relevant policy/procedure; Implementation evidence; Review/monitoring records</t>
        </is>
      </c>
      <c r="H9" s="28" t="inlineStr">
        <is>
          <t>Inspection</t>
        </is>
      </c>
      <c r="I9" s="28" t="inlineStr"/>
      <c r="J9" s="28" t="inlineStr"/>
      <c r="K9" s="28" t="inlineStr"/>
      <c r="L9" s="28" t="inlineStr"/>
      <c r="M9" s="28" t="inlineStr"/>
      <c r="N9" s="28" t="inlineStr"/>
    </row>
    <row r="10">
      <c r="A10" s="7" t="inlineStr">
        <is>
          <t>18.1.3.4</t>
        </is>
      </c>
      <c r="B10" s="7" t="inlineStr">
        <is>
          <t>NACSA-18.1.3d</t>
        </is>
      </c>
      <c r="C10" s="7" t="inlineStr"/>
      <c r="D10" s="7" t="inlineStr"/>
      <c r="E10" s="7" t="inlineStr">
        <is>
          <t>Version control for CSIMP review documentation shall be maintained to track changes and ensure proper dissemination.</t>
        </is>
      </c>
      <c r="F10" s="7" t="inlineStr">
        <is>
          <t>1. Request evidence of communication to relevant stakeholders.
2. Verify communication method is appropriate (training, intranet, briefings).
3. Sample 10 staff — confirm acknowledgement/receipt of communication.
4. Confirm communication is current (reflects latest version).</t>
        </is>
      </c>
      <c r="G10" s="7" t="inlineStr">
        <is>
          <t>Communication records; Staff acknowledgement samples; Intranet/portal screenshots</t>
        </is>
      </c>
      <c r="H10" s="7" t="inlineStr">
        <is>
          <t>Inspection</t>
        </is>
      </c>
      <c r="I10" s="7" t="inlineStr"/>
      <c r="J10" s="7" t="inlineStr"/>
      <c r="K10" s="7" t="inlineStr"/>
      <c r="L10" s="7" t="inlineStr"/>
      <c r="M10" s="7" t="inlineStr"/>
      <c r="N10" s="7" t="inlineStr"/>
    </row>
    <row r="11"/>
    <row r="12">
      <c r="A12" s="21" t="inlineStr">
        <is>
          <t>CoP 18.0 — Cyber Security Incident Management (System-Level: per NCII system)</t>
        </is>
      </c>
      <c r="B12" s="38" t="n"/>
      <c r="C12" s="38" t="n"/>
      <c r="D12" s="38" t="n"/>
      <c r="E12" s="38" t="n"/>
      <c r="F12" s="38" t="n"/>
      <c r="G12" s="38" t="n"/>
      <c r="H12" s="38" t="n"/>
      <c r="I12" s="38" t="n"/>
      <c r="J12" s="38" t="n"/>
      <c r="K12" s="38" t="n"/>
      <c r="L12" s="38" t="n"/>
      <c r="M12" s="38" t="n"/>
      <c r="N12" s="39" t="n"/>
    </row>
    <row r="13">
      <c r="A13" s="29" t="inlineStr">
        <is>
          <t>18.1.2</t>
        </is>
      </c>
      <c r="B13" s="29" t="inlineStr">
        <is>
          <t>NACSA-18.1.2-NCII-SYS-001</t>
        </is>
      </c>
      <c r="C13" s="29" t="inlineStr">
        <is>
          <t>SYSTEM</t>
        </is>
      </c>
      <c r="D13" s="29" t="inlineStr">
        <is>
          <t>Response and Cyber Security Incident Handling</t>
        </is>
      </c>
      <c r="E13" s="29" t="inlineStr">
        <is>
          <t>[System 1]: Assess 1 mandatory requirement(s)</t>
        </is>
      </c>
      <c r="F13" s="29" t="inlineStr"/>
      <c r="G13" s="29" t="inlineStr"/>
      <c r="H13" s="29" t="inlineStr"/>
      <c r="I13" s="29" t="inlineStr"/>
      <c r="J13" s="29" t="inlineStr"/>
      <c r="K13" s="29" t="inlineStr"/>
      <c r="L13" s="29" t="inlineStr"/>
      <c r="M13" s="26" t="inlineStr"/>
      <c r="N13" s="26" t="inlineStr"/>
    </row>
    <row r="14">
      <c r="A14" s="28" t="inlineStr">
        <is>
          <t>18.1.2.1</t>
        </is>
      </c>
      <c r="B14" s="28" t="inlineStr">
        <is>
          <t>NACSA-18.1.2a-NCII-SYS-001</t>
        </is>
      </c>
      <c r="C14" s="28" t="inlineStr"/>
      <c r="D14" s="28" t="inlineStr"/>
      <c r="E14" s="28" t="inlineStr">
        <is>
          <t>[System 1]: The NCII entity shall ensure cyber security incidents are responded to and handled in accordance wit...</t>
        </is>
      </c>
      <c r="F14" s="28" t="inlineStr">
        <is>
          <t>1. Request evidence of communication to relevant stakeholders.
2. Verify communication method is appropriate (training, intranet, briefings).
3. Sample 10 staff — confirm acknowledgement/receipt of communication.
4. Confirm communication is current (reflects latest version).</t>
        </is>
      </c>
      <c r="G14" s="28" t="inlineStr">
        <is>
          <t>Communication records; Staff acknowledgement samples; Intranet/portal screenshots</t>
        </is>
      </c>
      <c r="H14" s="28" t="inlineStr">
        <is>
          <t>Inspection</t>
        </is>
      </c>
      <c r="I14" s="28" t="inlineStr"/>
      <c r="J14" s="28" t="inlineStr"/>
      <c r="K14" s="28" t="inlineStr"/>
      <c r="L14" s="28" t="inlineStr"/>
      <c r="M14" s="28" t="inlineStr"/>
      <c r="N14" s="28" t="inlineStr"/>
    </row>
    <row r="15">
      <c r="A15" s="29" t="inlineStr">
        <is>
          <t>18.1.2</t>
        </is>
      </c>
      <c r="B15" s="29" t="inlineStr">
        <is>
          <t>NACSA-18.1.2-NCII-SYS-002</t>
        </is>
      </c>
      <c r="C15" s="29" t="inlineStr">
        <is>
          <t>SYSTEM</t>
        </is>
      </c>
      <c r="D15" s="29" t="inlineStr">
        <is>
          <t>Response and Cyber Security Incident Handling</t>
        </is>
      </c>
      <c r="E15" s="29" t="inlineStr">
        <is>
          <t>[System 2]: Assess 1 mandatory requirement(s)</t>
        </is>
      </c>
      <c r="F15" s="29" t="inlineStr"/>
      <c r="G15" s="29" t="inlineStr"/>
      <c r="H15" s="29" t="inlineStr"/>
      <c r="I15" s="29" t="inlineStr"/>
      <c r="J15" s="29" t="inlineStr"/>
      <c r="K15" s="29" t="inlineStr"/>
      <c r="L15" s="29" t="inlineStr"/>
      <c r="M15" s="26" t="inlineStr"/>
      <c r="N15" s="26" t="inlineStr"/>
    </row>
    <row r="16">
      <c r="A16" s="7" t="inlineStr">
        <is>
          <t>18.1.2.1</t>
        </is>
      </c>
      <c r="B16" s="7" t="inlineStr">
        <is>
          <t>NACSA-18.1.2a-NCII-SYS-002</t>
        </is>
      </c>
      <c r="C16" s="7" t="inlineStr"/>
      <c r="D16" s="7" t="inlineStr"/>
      <c r="E16" s="7" t="inlineStr">
        <is>
          <t>[System 2]: The NCII entity shall ensure cyber security incidents are responded to and handled in accordance wit...</t>
        </is>
      </c>
      <c r="F16" s="7" t="inlineStr">
        <is>
          <t>1. Request evidence of communication to relevant stakeholders.
2. Verify communication method is appropriate (training, intranet, briefings).
3. Sample 10 staff — confirm acknowledgement/receipt of communication.
4. Confirm communication is current (reflects latest version).</t>
        </is>
      </c>
      <c r="G16" s="7" t="inlineStr">
        <is>
          <t>Communication records; Staff acknowledgement samples; Intranet/portal screenshots</t>
        </is>
      </c>
      <c r="H16" s="7" t="inlineStr">
        <is>
          <t>Inspection</t>
        </is>
      </c>
      <c r="I16" s="7" t="inlineStr"/>
      <c r="J16" s="7" t="inlineStr"/>
      <c r="K16" s="7" t="inlineStr"/>
      <c r="L16" s="7" t="inlineStr"/>
      <c r="M16" s="7" t="inlineStr"/>
      <c r="N16" s="7" t="inlineStr"/>
    </row>
    <row r="17">
      <c r="A17" s="29" t="inlineStr">
        <is>
          <t>18.1.2</t>
        </is>
      </c>
      <c r="B17" s="29" t="inlineStr">
        <is>
          <t>NACSA-18.1.2-NCII-SYS-003</t>
        </is>
      </c>
      <c r="C17" s="29" t="inlineStr">
        <is>
          <t>SYSTEM</t>
        </is>
      </c>
      <c r="D17" s="29" t="inlineStr">
        <is>
          <t>Response and Cyber Security Incident Handling</t>
        </is>
      </c>
      <c r="E17" s="29" t="inlineStr">
        <is>
          <t>[System 3]: Assess 1 mandatory requirement(s)</t>
        </is>
      </c>
      <c r="F17" s="29" t="inlineStr"/>
      <c r="G17" s="29" t="inlineStr"/>
      <c r="H17" s="29" t="inlineStr"/>
      <c r="I17" s="29" t="inlineStr"/>
      <c r="J17" s="29" t="inlineStr"/>
      <c r="K17" s="29" t="inlineStr"/>
      <c r="L17" s="29" t="inlineStr"/>
      <c r="M17" s="26" t="inlineStr"/>
      <c r="N17" s="26" t="inlineStr"/>
    </row>
    <row r="18">
      <c r="A18" s="28" t="inlineStr">
        <is>
          <t>18.1.2.1</t>
        </is>
      </c>
      <c r="B18" s="28" t="inlineStr">
        <is>
          <t>NACSA-18.1.2a-NCII-SYS-003</t>
        </is>
      </c>
      <c r="C18" s="28" t="inlineStr"/>
      <c r="D18" s="28" t="inlineStr"/>
      <c r="E18" s="28" t="inlineStr">
        <is>
          <t>[System 3]: The NCII entity shall ensure cyber security incidents are responded to and handled in accordance wit...</t>
        </is>
      </c>
      <c r="F18" s="28" t="inlineStr">
        <is>
          <t>1. Request evidence of communication to relevant stakeholders.
2. Verify communication method is appropriate (training, intranet, briefings).
3. Sample 10 staff — confirm acknowledgement/receipt of communication.
4. Confirm communication is current (reflects latest version).</t>
        </is>
      </c>
      <c r="G18" s="28" t="inlineStr">
        <is>
          <t>Communication records; Staff acknowledgement samples; Intranet/portal screenshots</t>
        </is>
      </c>
      <c r="H18" s="28" t="inlineStr">
        <is>
          <t>Inspection</t>
        </is>
      </c>
      <c r="I18" s="28" t="inlineStr"/>
      <c r="J18" s="28" t="inlineStr"/>
      <c r="K18" s="28" t="inlineStr"/>
      <c r="L18" s="28" t="inlineStr"/>
      <c r="M18" s="28" t="inlineStr"/>
      <c r="N18" s="28" t="inlineStr"/>
    </row>
  </sheetData>
  <mergeCells count="3">
    <mergeCell ref="A12:N12"/>
    <mergeCell ref="A3:N3"/>
    <mergeCell ref="A2:N2"/>
  </mergeCells>
  <conditionalFormatting sqref="M4:M19">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18"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19.0 — Business Continuity Management (Organisation-Level)</t>
        </is>
      </c>
      <c r="B2" s="38" t="n"/>
      <c r="C2" s="38" t="n"/>
      <c r="D2" s="38" t="n"/>
      <c r="E2" s="38" t="n"/>
      <c r="F2" s="38" t="n"/>
      <c r="G2" s="38" t="n"/>
      <c r="H2" s="38" t="n"/>
      <c r="I2" s="38" t="n"/>
      <c r="J2" s="38" t="n"/>
      <c r="K2" s="38" t="n"/>
      <c r="L2" s="38" t="n"/>
      <c r="M2" s="38" t="n"/>
      <c r="N2" s="39" t="n"/>
    </row>
    <row r="3" ht="60" customHeight="1">
      <c r="A3" s="23" t="inlineStr">
        <is>
          <t>WHY: Business continuity ensures NCII services recover from disruptions. BCP with cyber scenarios, tested DR, and adequate backup protect against extended outages.
WHAT GOOD LOOKS LIKE: BCP with BIA defining RTO/RPO per NCII system, crisis management procedures, annual DR failover testing with security validation, backup integrity verified through restore tests.
KEY RISK IF ABSENT: Extended NCII service disruption, untested recovery procedures that fail under real conditions, data loss from backup failures.</t>
        </is>
      </c>
      <c r="B3" s="38" t="n"/>
      <c r="C3" s="38" t="n"/>
      <c r="D3" s="38" t="n"/>
      <c r="E3" s="38" t="n"/>
      <c r="F3" s="38" t="n"/>
      <c r="G3" s="38" t="n"/>
      <c r="H3" s="38" t="n"/>
      <c r="I3" s="38" t="n"/>
      <c r="J3" s="38" t="n"/>
      <c r="K3" s="38" t="n"/>
      <c r="L3" s="38" t="n"/>
      <c r="M3" s="38" t="n"/>
      <c r="N3" s="39" t="n"/>
    </row>
    <row r="4">
      <c r="A4" s="25" t="inlineStr">
        <is>
          <t>19.1.1</t>
        </is>
      </c>
      <c r="B4" s="25" t="inlineStr">
        <is>
          <t>NACSA-19.1.1</t>
        </is>
      </c>
      <c r="C4" s="25" t="inlineStr">
        <is>
          <t>ORG</t>
        </is>
      </c>
      <c r="D4" s="25" t="inlineStr">
        <is>
          <t>Establishment of Business Continuity Plan</t>
        </is>
      </c>
      <c r="E4" s="25" t="inlineStr">
        <is>
          <t>Assess 1 mandatory requirement(s)</t>
        </is>
      </c>
      <c r="F4" s="25" t="inlineStr"/>
      <c r="G4" s="25" t="inlineStr"/>
      <c r="H4" s="25" t="inlineStr"/>
      <c r="I4" s="25" t="inlineStr"/>
      <c r="J4" s="25" t="inlineStr"/>
      <c r="K4" s="25" t="inlineStr"/>
      <c r="L4" s="25" t="inlineStr"/>
      <c r="M4" s="26" t="inlineStr"/>
      <c r="N4" s="26" t="inlineStr"/>
    </row>
    <row r="5">
      <c r="A5" s="7" t="inlineStr">
        <is>
          <t>19.1.1.1</t>
        </is>
      </c>
      <c r="B5" s="7" t="inlineStr">
        <is>
          <t>NACSA-19.1.1a</t>
        </is>
      </c>
      <c r="C5" s="7" t="inlineStr"/>
      <c r="D5" s="7" t="inlineStr"/>
      <c r="E5" s="7" t="inlineStr">
        <is>
          <t>The NCII entity shall establish a Business Continuity Plan (BCP) to ensure critical business functions continue during a...</t>
        </is>
      </c>
      <c r="F5" s="7" t="inlineStr">
        <is>
          <t>1. Request the current plan document with approval records.
2. Verify it is formally approved by the governance committee or top management (check signatures, dates).
3. Confirm it addresses all elements specified in this clause.
4. Verify version control is maintained with change history.</t>
        </is>
      </c>
      <c r="G5" s="7" t="inlineStr">
        <is>
          <t>Approved policy/procedure document; Committee approval record; Version history</t>
        </is>
      </c>
      <c r="H5" s="7" t="inlineStr">
        <is>
          <t>Inspection / Inquiry</t>
        </is>
      </c>
      <c r="I5" s="7" t="inlineStr"/>
      <c r="J5" s="7" t="inlineStr"/>
      <c r="K5" s="7" t="inlineStr"/>
      <c r="L5" s="7" t="inlineStr"/>
      <c r="M5" s="7" t="inlineStr"/>
      <c r="N5" s="7" t="inlineStr"/>
    </row>
    <row r="6">
      <c r="A6" s="25" t="inlineStr">
        <is>
          <t>19.1.2</t>
        </is>
      </c>
      <c r="B6" s="25" t="inlineStr">
        <is>
          <t>NACSA-19.1.2</t>
        </is>
      </c>
      <c r="C6" s="25" t="inlineStr">
        <is>
          <t>ORG</t>
        </is>
      </c>
      <c r="D6" s="25" t="inlineStr">
        <is>
          <t>Compliance Monitoring</t>
        </is>
      </c>
      <c r="E6" s="25" t="inlineStr">
        <is>
          <t>Assess 1 mandatory requirement(s)</t>
        </is>
      </c>
      <c r="F6" s="25" t="inlineStr"/>
      <c r="G6" s="25" t="inlineStr"/>
      <c r="H6" s="25" t="inlineStr"/>
      <c r="I6" s="25" t="inlineStr"/>
      <c r="J6" s="25" t="inlineStr"/>
      <c r="K6" s="25" t="inlineStr"/>
      <c r="L6" s="25" t="inlineStr"/>
      <c r="M6" s="26" t="inlineStr"/>
      <c r="N6" s="26" t="inlineStr"/>
    </row>
    <row r="7">
      <c r="A7" s="28" t="inlineStr">
        <is>
          <t>19.1.2.1</t>
        </is>
      </c>
      <c r="B7" s="28" t="inlineStr">
        <is>
          <t>NACSA-19.1.2a</t>
        </is>
      </c>
      <c r="C7" s="28" t="inlineStr"/>
      <c r="D7" s="28" t="inlineStr"/>
      <c r="E7" s="28" t="inlineStr">
        <is>
          <t>The NCII entity shall ensure compliance with the BCP through the following measures:
- Monitoring and Reporting:
  - Reg...</t>
        </is>
      </c>
      <c r="F7" s="28" t="inlineStr">
        <is>
          <t>1. Request compliance monitoring reports for the last 12 months.
2. Verify monitoring covers all applicable requirements (not just a subset).
3. Check that non-compliance items are tracked with remediation owners and timelines.
4. Confirm results are reported to the governance committee.</t>
        </is>
      </c>
      <c r="G7" s="28" t="inlineStr">
        <is>
          <t>Approved policy/procedure document; Committee approval record; Version history</t>
        </is>
      </c>
      <c r="H7" s="28" t="inlineStr">
        <is>
          <t>Inspection</t>
        </is>
      </c>
      <c r="I7" s="28" t="inlineStr"/>
      <c r="J7" s="28" t="inlineStr"/>
      <c r="K7" s="28" t="inlineStr"/>
      <c r="L7" s="28" t="inlineStr"/>
      <c r="M7" s="28" t="inlineStr"/>
      <c r="N7" s="28" t="inlineStr"/>
    </row>
    <row r="8">
      <c r="A8" s="25" t="inlineStr">
        <is>
          <t>19.1.3</t>
        </is>
      </c>
      <c r="B8" s="25" t="inlineStr">
        <is>
          <t>NACSA-19.1.3</t>
        </is>
      </c>
      <c r="C8" s="25" t="inlineStr">
        <is>
          <t>ORG</t>
        </is>
      </c>
      <c r="D8" s="25" t="inlineStr">
        <is>
          <t>Review of Business Continuity Plan</t>
        </is>
      </c>
      <c r="E8" s="25" t="inlineStr">
        <is>
          <t>Assess 1 mandatory requirement(s) + 2 improvement opportunity(ies)</t>
        </is>
      </c>
      <c r="F8" s="25" t="inlineStr"/>
      <c r="G8" s="25" t="inlineStr"/>
      <c r="H8" s="25" t="inlineStr"/>
      <c r="I8" s="25" t="inlineStr"/>
      <c r="J8" s="25" t="inlineStr"/>
      <c r="K8" s="25" t="inlineStr"/>
      <c r="L8" s="25" t="inlineStr"/>
      <c r="M8" s="26" t="inlineStr"/>
      <c r="N8" s="26" t="inlineStr"/>
    </row>
    <row r="9">
      <c r="A9" s="7" t="inlineStr">
        <is>
          <t>19.1.3.1</t>
        </is>
      </c>
      <c r="B9" s="7" t="inlineStr">
        <is>
          <t>NACSA-19.1.3a</t>
        </is>
      </c>
      <c r="C9" s="7" t="inlineStr"/>
      <c r="D9" s="7" t="inlineStr"/>
      <c r="E9" s="7" t="inlineStr">
        <is>
          <t>The NCII entity shall review the BCP annually and / or whenever necessary such as after significant events like major cy...</t>
        </is>
      </c>
      <c r="F9" s="7" t="inlineStr">
        <is>
          <t>1. Request evidence of the most recent review (minutes, review report).
2. Verify the review was conducted within the required timeframe.
3. Confirm review addressed all required elements per the CoP clause.
4. Check that review outcomes were acted upon (changes made, approvals obtained).</t>
        </is>
      </c>
      <c r="G9" s="7" t="inlineStr">
        <is>
          <t>Review report/minutes; Updated document post-review; Approval of changes</t>
        </is>
      </c>
      <c r="H9" s="7" t="inlineStr">
        <is>
          <t>Inspection</t>
        </is>
      </c>
      <c r="I9" s="7" t="inlineStr"/>
      <c r="J9" s="7" t="inlineStr"/>
      <c r="K9" s="7" t="inlineStr"/>
      <c r="L9" s="7" t="inlineStr"/>
      <c r="M9" s="7" t="inlineStr"/>
      <c r="N9" s="7" t="inlineStr"/>
    </row>
    <row r="10">
      <c r="A10" s="27" t="inlineStr">
        <is>
          <t>19.1.3.2</t>
        </is>
      </c>
      <c r="B10" s="27" t="inlineStr">
        <is>
          <t>NACSA-19.1.3b</t>
        </is>
      </c>
      <c r="C10" s="27" t="inlineStr"/>
      <c r="D10" s="27" t="inlineStr"/>
      <c r="E10" s="27" t="inlineStr">
        <is>
          <t>(Tier 2 -- Improvement Opportunity) During the review process, input from key stakeholders, including employees, sup...</t>
        </is>
      </c>
      <c r="F10" s="27" t="inlineStr">
        <is>
          <t>1. Request supplier/vendor register.
2. Verify CSSP licensing for applicable providers (P.U.(A) 221/2024).
3. Check contractual security requirements in supplier agreements.
4. Review supplier risk assessments and compliance monitoring.</t>
        </is>
      </c>
      <c r="G10" s="27" t="inlineStr">
        <is>
          <t>Supplier register; CSSP licence records; Sample supplier agreements; Risk assessment records</t>
        </is>
      </c>
      <c r="H10" s="27" t="inlineStr">
        <is>
          <t>Inspection</t>
        </is>
      </c>
      <c r="I10" s="27" t="inlineStr"/>
      <c r="J10" s="27" t="inlineStr"/>
      <c r="K10" s="27" t="inlineStr"/>
      <c r="L10" s="27" t="inlineStr"/>
      <c r="M10" s="27" t="inlineStr"/>
      <c r="N10" s="27" t="inlineStr"/>
    </row>
    <row r="11">
      <c r="A11" s="27" t="inlineStr">
        <is>
          <t>19.1.3.3</t>
        </is>
      </c>
      <c r="B11" s="27" t="inlineStr">
        <is>
          <t>NACSA-19.1.3c</t>
        </is>
      </c>
      <c r="C11" s="27" t="inlineStr"/>
      <c r="D11" s="27" t="inlineStr"/>
      <c r="E11" s="27" t="inlineStr">
        <is>
          <t>(Tier 2 -- Improvement Opportunity) BCP document should be updated to reflect changes, ensuring proper version contr...</t>
        </is>
      </c>
      <c r="F11" s="27" t="inlineStr">
        <is>
          <t>1. Request evidence of communication to relevant stakeholders.
2. Verify communication method is appropriate (training, intranet, briefings).
3. Sample 10 staff — confirm acknowledgement/receipt of communication.
4. Confirm communication is current (reflects latest version).</t>
        </is>
      </c>
      <c r="G11" s="27" t="inlineStr">
        <is>
          <t>Communication records; Staff acknowledgement samples; Intranet/portal screenshots</t>
        </is>
      </c>
      <c r="H11" s="27" t="inlineStr">
        <is>
          <t>Inspection</t>
        </is>
      </c>
      <c r="I11" s="27" t="inlineStr"/>
      <c r="J11" s="27" t="inlineStr"/>
      <c r="K11" s="27" t="inlineStr"/>
      <c r="L11" s="27" t="inlineStr"/>
      <c r="M11" s="27" t="inlineStr"/>
      <c r="N11" s="27" t="inlineStr"/>
    </row>
    <row r="12">
      <c r="A12" s="25" t="inlineStr">
        <is>
          <t>19.2.1</t>
        </is>
      </c>
      <c r="B12" s="25" t="inlineStr">
        <is>
          <t>NACSA-19.2.1</t>
        </is>
      </c>
      <c r="C12" s="25" t="inlineStr">
        <is>
          <t>ORG</t>
        </is>
      </c>
      <c r="D12" s="25" t="inlineStr">
        <is>
          <t>Conducting Scenario-Based Testing and Simulations</t>
        </is>
      </c>
      <c r="E12" s="25" t="inlineStr">
        <is>
          <t>Assess 2 mandatory requirement(s) + 1 improvement opportunity(ies)</t>
        </is>
      </c>
      <c r="F12" s="25" t="inlineStr"/>
      <c r="G12" s="25" t="inlineStr"/>
      <c r="H12" s="25" t="inlineStr"/>
      <c r="I12" s="25" t="inlineStr"/>
      <c r="J12" s="25" t="inlineStr"/>
      <c r="K12" s="25" t="inlineStr"/>
      <c r="L12" s="25" t="inlineStr"/>
      <c r="M12" s="26" t="inlineStr"/>
      <c r="N12" s="26" t="inlineStr"/>
    </row>
    <row r="13">
      <c r="A13" s="28" t="inlineStr">
        <is>
          <t>19.2.1.1</t>
        </is>
      </c>
      <c r="B13" s="28" t="inlineStr">
        <is>
          <t>NACSA-19.2.1a</t>
        </is>
      </c>
      <c r="C13" s="28" t="inlineStr"/>
      <c r="D13" s="28" t="inlineStr"/>
      <c r="E13" s="28" t="inlineStr">
        <is>
          <t>The NCII entity shall conduct scenario-based testing and simulation exercises on an annual basis or when required by the...</t>
        </is>
      </c>
      <c r="F13" s="28" t="inlineStr">
        <is>
          <t>1. Request the annual BCP/DR test schedule and latest test reports.
2. Verify scenarios are realistic (ransomware, data destruction, supply chain compromise).
3. Review post-test reports for identified gaps and action plans.
4. Check that action items from prior tests have been closed.</t>
        </is>
      </c>
      <c r="G13" s="28" t="inlineStr">
        <is>
          <t>Approved policy/procedure document; Committee approval record; Version history</t>
        </is>
      </c>
      <c r="H13" s="28" t="inlineStr">
        <is>
          <t>Inspection</t>
        </is>
      </c>
      <c r="I13" s="28" t="inlineStr"/>
      <c r="J13" s="28" t="inlineStr"/>
      <c r="K13" s="28" t="inlineStr"/>
      <c r="L13" s="28" t="inlineStr"/>
      <c r="M13" s="28" t="inlineStr"/>
      <c r="N13" s="28" t="inlineStr"/>
    </row>
    <row r="14">
      <c r="A14" s="7" t="inlineStr">
        <is>
          <t>19.2.1.2</t>
        </is>
      </c>
      <c r="B14" s="7" t="inlineStr">
        <is>
          <t>NACSA-19.2.1b</t>
        </is>
      </c>
      <c r="C14" s="7" t="inlineStr"/>
      <c r="D14" s="7" t="inlineStr"/>
      <c r="E14" s="7" t="inlineStr">
        <is>
          <t>Realistic scenarios shall be designed that reflect potential disruptions, such as:
- Cyber security incidents (ransomwar...</t>
        </is>
      </c>
      <c r="F14" s="7" t="inlineStr">
        <is>
          <t>1. Request supplier/vendor register.
2. Verify CSSP licensing for applicable providers (P.U.(A) 221/2024).
3. Check contractual security requirements in supplier agreements.
4. Review supplier risk assessments and compliance monitoring.</t>
        </is>
      </c>
      <c r="G14" s="7" t="inlineStr">
        <is>
          <t>Supplier register; CSSP licence records; Sample supplier agreements; Risk assessment records</t>
        </is>
      </c>
      <c r="H14" s="7" t="inlineStr">
        <is>
          <t>Inspection</t>
        </is>
      </c>
      <c r="I14" s="7" t="inlineStr"/>
      <c r="J14" s="7" t="inlineStr"/>
      <c r="K14" s="7" t="inlineStr"/>
      <c r="L14" s="7" t="inlineStr"/>
      <c r="M14" s="7" t="inlineStr"/>
      <c r="N14" s="7" t="inlineStr"/>
    </row>
    <row r="15">
      <c r="A15" s="27" t="inlineStr">
        <is>
          <t>19.2.1.3</t>
        </is>
      </c>
      <c r="B15" s="27" t="inlineStr">
        <is>
          <t>NACSA-19.2.1c</t>
        </is>
      </c>
      <c r="C15" s="27" t="inlineStr"/>
      <c r="D15" s="27" t="inlineStr"/>
      <c r="E15" s="27" t="inlineStr">
        <is>
          <t>(Tier 2 -- Improvement Opportunity) The NCII entity should conduct various types of simulations to assess the effect...</t>
        </is>
      </c>
      <c r="F15" s="27" t="inlineStr">
        <is>
          <t>1. Request BCP/DRP documentation.
2. Verify BIA with defined RTO/RPO per NCII system.
3. Check most recent DR failover test results.
4. Verify backup procedures and restore test evidence.</t>
        </is>
      </c>
      <c r="G15" s="27" t="inlineStr">
        <is>
          <t>BCP/DRP document; BIA with RTO/RPO; DR test results; Backup/restore test records</t>
        </is>
      </c>
      <c r="H15" s="27" t="inlineStr">
        <is>
          <t>Inspection</t>
        </is>
      </c>
      <c r="I15" s="27" t="inlineStr"/>
      <c r="J15" s="27" t="inlineStr"/>
      <c r="K15" s="27" t="inlineStr"/>
      <c r="L15" s="27" t="inlineStr"/>
      <c r="M15" s="27" t="inlineStr"/>
      <c r="N15" s="27" t="inlineStr"/>
    </row>
    <row r="16">
      <c r="A16" s="25" t="inlineStr">
        <is>
          <t>19.2.2</t>
        </is>
      </c>
      <c r="B16" s="25" t="inlineStr">
        <is>
          <t>NACSA-19.2.2</t>
        </is>
      </c>
      <c r="C16" s="25" t="inlineStr">
        <is>
          <t>ORG</t>
        </is>
      </c>
      <c r="D16" s="25" t="inlineStr">
        <is>
          <t>Reporting and Documentation</t>
        </is>
      </c>
      <c r="E16" s="25" t="inlineStr">
        <is>
          <t>Assess 1 mandatory requirement(s)</t>
        </is>
      </c>
      <c r="F16" s="25" t="inlineStr"/>
      <c r="G16" s="25" t="inlineStr"/>
      <c r="H16" s="25" t="inlineStr"/>
      <c r="I16" s="25" t="inlineStr"/>
      <c r="J16" s="25" t="inlineStr"/>
      <c r="K16" s="25" t="inlineStr"/>
      <c r="L16" s="25" t="inlineStr"/>
      <c r="M16" s="26" t="inlineStr"/>
      <c r="N16" s="26" t="inlineStr"/>
    </row>
    <row r="17">
      <c r="A17" s="7" t="inlineStr">
        <is>
          <t>19.2.2.1</t>
        </is>
      </c>
      <c r="B17" s="7" t="inlineStr">
        <is>
          <t>NACSA-19.2.2a</t>
        </is>
      </c>
      <c r="C17" s="7" t="inlineStr"/>
      <c r="D17" s="7" t="inlineStr"/>
      <c r="E17" s="7" t="inlineStr">
        <is>
          <t>The outcomes of testing and simulations shall be documented and shared with relevant stakeholders through:
- Post-Test R...</t>
        </is>
      </c>
      <c r="F17" s="7" t="inlineStr">
        <is>
          <t>1. Request evidence of communication to stakeholders — emails, portal announcements, signed acknowledgements.
2. Sample 10 acknowledgement records to verify staff received and understood the communication.
3. Verify communication covers all relevant parties including contractors and third parties with NCII access.
4. Check the communication is current (not an outdated version).</t>
        </is>
      </c>
      <c r="G17" s="7" t="inlineStr">
        <is>
          <t>Approved policy/procedure document; Committee approval record; Version history</t>
        </is>
      </c>
      <c r="H17" s="7" t="inlineStr">
        <is>
          <t>Inspection</t>
        </is>
      </c>
      <c r="I17" s="7" t="inlineStr"/>
      <c r="J17" s="7" t="inlineStr"/>
      <c r="K17" s="7" t="inlineStr"/>
      <c r="L17" s="7" t="inlineStr"/>
      <c r="M17" s="7" t="inlineStr"/>
      <c r="N17" s="7" t="inlineStr"/>
    </row>
  </sheetData>
  <mergeCells count="2">
    <mergeCell ref="A3:N3"/>
    <mergeCell ref="A2:N2"/>
  </mergeCells>
  <conditionalFormatting sqref="M4:M18">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17"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14" customWidth="1" min="1" max="1"/>
    <col width="12" customWidth="1" min="2" max="2"/>
    <col width="11" customWidth="1" min="3" max="3"/>
    <col width="24" customWidth="1" min="4" max="4"/>
    <col width="30"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20" t="inlineStr">
        <is>
          <t>CoP Ref</t>
        </is>
      </c>
      <c r="B1" s="20" t="inlineStr">
        <is>
          <t>AWP Ref</t>
        </is>
      </c>
      <c r="C1" s="20" t="inlineStr">
        <is>
          <t>Level</t>
        </is>
      </c>
      <c r="D1" s="20" t="inlineStr">
        <is>
          <t>Control Domain</t>
        </is>
      </c>
      <c r="E1" s="20" t="inlineStr">
        <is>
          <t>Sub-Procedure</t>
        </is>
      </c>
      <c r="F1" s="20" t="inlineStr">
        <is>
          <t>1. Request evidence that the entity has implemented this requirement.
2. Verify implementation covers all NCII systems in scope.
3. Check evidence is current (within the review/assessment period).
4. Confirm the implementation meets the specific elements described in CoP clause CoP Ref.</t>
        </is>
      </c>
      <c r="G1" s="20" t="inlineStr">
        <is>
          <t>Expected Evidence</t>
        </is>
      </c>
      <c r="H1" s="20" t="inlineStr">
        <is>
          <t>Method</t>
        </is>
      </c>
      <c r="I1" s="20" t="inlineStr">
        <is>
          <t>Procedures Performed</t>
        </is>
      </c>
      <c r="J1" s="20" t="inlineStr">
        <is>
          <t>Evidence Obtained</t>
        </is>
      </c>
      <c r="K1" s="20" t="inlineStr">
        <is>
          <t>Evidence Ref</t>
        </is>
      </c>
      <c r="L1" s="20" t="inlineStr">
        <is>
          <t>Observations</t>
        </is>
      </c>
      <c r="M1" s="20" t="inlineStr">
        <is>
          <t>Conclusion</t>
        </is>
      </c>
      <c r="N1" s="20" t="inlineStr">
        <is>
          <t>Recommendations</t>
        </is>
      </c>
    </row>
    <row r="2">
      <c r="A2" s="21" t="inlineStr">
        <is>
          <t>CoP 20.0 — Sector-Specific Requirements (Organisation-Level)</t>
        </is>
      </c>
      <c r="B2" s="38" t="n"/>
      <c r="C2" s="38" t="n"/>
      <c r="D2" s="38" t="n"/>
      <c r="E2" s="38" t="n"/>
      <c r="F2" s="38" t="n"/>
      <c r="G2" s="38" t="n"/>
      <c r="H2" s="38" t="n"/>
      <c r="I2" s="38" t="n"/>
      <c r="J2" s="38" t="n"/>
      <c r="K2" s="38" t="n"/>
      <c r="L2" s="38" t="n"/>
      <c r="M2" s="38" t="n"/>
      <c r="N2" s="39" t="n"/>
    </row>
    <row r="3" ht="60" customHeight="1">
      <c r="A3" s="23" t="inlineStr">
        <is>
          <t>WHY: NCII entities operate in specific sectors with unique threat profiles and regulatory requirements. Sector-specific CoPs address OT security (energy, transport), e-commerce security (banking), and other sector-unique controls.
WHAT GOOD LOOKS LIKE: Entity has obtained its sector-specific CoP from NACSA/sector lead, performed self-assessment against sector requirements, addressed OT/ICS security if applicable.
KEY RISK IF ABSENT: Sector-specific attack vectors unaddressed, non-compliance with sector CoP requirements.</t>
        </is>
      </c>
      <c r="B3" s="38" t="n"/>
      <c r="C3" s="38" t="n"/>
      <c r="D3" s="38" t="n"/>
      <c r="E3" s="38" t="n"/>
      <c r="F3" s="38" t="n"/>
      <c r="G3" s="38" t="n"/>
      <c r="H3" s="38" t="n"/>
      <c r="I3" s="38" t="n"/>
      <c r="J3" s="38" t="n"/>
      <c r="K3" s="38" t="n"/>
      <c r="L3" s="38" t="n"/>
      <c r="M3" s="38" t="n"/>
      <c r="N3" s="39" t="n"/>
    </row>
    <row r="4">
      <c r="A4" s="25" t="inlineStr">
        <is>
          <t>20.1</t>
        </is>
      </c>
      <c r="B4" s="25" t="inlineStr">
        <is>
          <t>NACSA-20.1</t>
        </is>
      </c>
      <c r="C4" s="25" t="inlineStr">
        <is>
          <t>ORG</t>
        </is>
      </c>
      <c r="D4" s="25" t="inlineStr">
        <is>
          <t>Operational Technology (OT) Security Requirements</t>
        </is>
      </c>
      <c r="E4" s="25" t="inlineStr">
        <is>
          <t>Assess 1 mandatory requirement(s)</t>
        </is>
      </c>
      <c r="F4" s="25" t="inlineStr"/>
      <c r="G4" s="25" t="inlineStr"/>
      <c r="H4" s="25" t="inlineStr"/>
      <c r="I4" s="25" t="inlineStr"/>
      <c r="J4" s="25" t="inlineStr"/>
      <c r="K4" s="25" t="inlineStr"/>
      <c r="L4" s="25" t="inlineStr"/>
      <c r="M4" s="26" t="inlineStr"/>
      <c r="N4" s="26" t="inlineStr"/>
    </row>
    <row r="5">
      <c r="A5" s="7" t="inlineStr">
        <is>
          <t>20.1.2</t>
        </is>
      </c>
      <c r="B5" s="7" t="inlineStr">
        <is>
          <t>NACSA-20.1a</t>
        </is>
      </c>
      <c r="C5" s="7" t="inlineStr"/>
      <c r="D5" s="7" t="inlineStr"/>
      <c r="E5" s="7" t="inlineStr">
        <is>
          <t>The requirement shall include network segmentation, access control, real-time monitoring, and secure remote access for O...</t>
        </is>
      </c>
      <c r="F5" s="7" t="inlineStr">
        <is>
          <t>1. Request the IAM/access control procedure.
2. Verify MFA deployment on NCII system access.
3. Sample 15 user accounts — verify access rights match job roles.
4. Check access review records (quarterly for privileged, semi-annually for standard).</t>
        </is>
      </c>
      <c r="G5" s="7" t="inlineStr">
        <is>
          <t>IAM procedure; MFA deployment evidence; User access sample; Access review records</t>
        </is>
      </c>
      <c r="H5" s="7" t="inlineStr">
        <is>
          <t>Inspection</t>
        </is>
      </c>
      <c r="I5" s="7" t="inlineStr"/>
      <c r="J5" s="7" t="inlineStr"/>
      <c r="K5" s="7" t="inlineStr"/>
      <c r="L5" s="7" t="inlineStr"/>
      <c r="M5" s="7" t="inlineStr"/>
      <c r="N5" s="7" t="inlineStr"/>
    </row>
    <row r="6"/>
    <row r="7">
      <c r="A7" s="21" t="inlineStr">
        <is>
          <t>CoP 20.0 — Sector-Specific Requirements (System-Level: per NCII system)</t>
        </is>
      </c>
      <c r="B7" s="38" t="n"/>
      <c r="C7" s="38" t="n"/>
      <c r="D7" s="38" t="n"/>
      <c r="E7" s="38" t="n"/>
      <c r="F7" s="38" t="n"/>
      <c r="G7" s="38" t="n"/>
      <c r="H7" s="38" t="n"/>
      <c r="I7" s="38" t="n"/>
      <c r="J7" s="38" t="n"/>
      <c r="K7" s="38" t="n"/>
      <c r="L7" s="38" t="n"/>
      <c r="M7" s="38" t="n"/>
      <c r="N7" s="39" t="n"/>
    </row>
    <row r="8">
      <c r="A8" s="29" t="inlineStr">
        <is>
          <t>20.2</t>
        </is>
      </c>
      <c r="B8" s="29" t="inlineStr">
        <is>
          <t>NACSA-20.2-NCII-SYS-001</t>
        </is>
      </c>
      <c r="C8" s="29" t="inlineStr">
        <is>
          <t>SYSTEM</t>
        </is>
      </c>
      <c r="D8" s="29" t="inlineStr">
        <is>
          <t>E-commerce Security Requirements</t>
        </is>
      </c>
      <c r="E8" s="29" t="inlineStr">
        <is>
          <t>[System 1]: Assess 1 mandatory requirement(s)</t>
        </is>
      </c>
      <c r="F8" s="29" t="inlineStr"/>
      <c r="G8" s="29" t="inlineStr"/>
      <c r="H8" s="29" t="inlineStr"/>
      <c r="I8" s="29" t="inlineStr"/>
      <c r="J8" s="29" t="inlineStr"/>
      <c r="K8" s="29" t="inlineStr"/>
      <c r="L8" s="29" t="inlineStr"/>
      <c r="M8" s="26" t="inlineStr"/>
      <c r="N8" s="26" t="inlineStr"/>
    </row>
    <row r="9">
      <c r="A9" s="28" t="inlineStr">
        <is>
          <t>20.2.1</t>
        </is>
      </c>
      <c r="B9" s="28" t="inlineStr">
        <is>
          <t>NACSA-20.2a-NCII-SYS-001</t>
        </is>
      </c>
      <c r="C9" s="28" t="inlineStr"/>
      <c r="D9" s="28" t="inlineStr"/>
      <c r="E9" s="28" t="inlineStr">
        <is>
          <t>[System 1]: The NCII entity shall provide a secure e-commerce platform by implementing the following:
- Secure c...</t>
        </is>
      </c>
      <c r="F9" s="28" t="inlineStr">
        <is>
          <t>1. Request the monitoring procedure/SMP.
2. Verify monitoring tools deployed (SIEM, IDPS, EDR).
3. Check log source coverage includes all NCII systems.
4. Review MTTD/MTTR KPI performance for the assessment period.</t>
        </is>
      </c>
      <c r="G9" s="28" t="inlineStr">
        <is>
          <t>Monitoring procedure; Tool deployment evidence; Log source inventory; KPI dashboard/reports</t>
        </is>
      </c>
      <c r="H9" s="28" t="inlineStr">
        <is>
          <t>Inspection</t>
        </is>
      </c>
      <c r="I9" s="28" t="inlineStr"/>
      <c r="J9" s="28" t="inlineStr"/>
      <c r="K9" s="28" t="inlineStr"/>
      <c r="L9" s="28" t="inlineStr"/>
      <c r="M9" s="28" t="inlineStr"/>
      <c r="N9" s="28" t="inlineStr"/>
    </row>
    <row r="10">
      <c r="A10" s="29" t="inlineStr">
        <is>
          <t>20.2</t>
        </is>
      </c>
      <c r="B10" s="29" t="inlineStr">
        <is>
          <t>NACSA-20.2-NCII-SYS-002</t>
        </is>
      </c>
      <c r="C10" s="29" t="inlineStr">
        <is>
          <t>SYSTEM</t>
        </is>
      </c>
      <c r="D10" s="29" t="inlineStr">
        <is>
          <t>E-commerce Security Requirements</t>
        </is>
      </c>
      <c r="E10" s="29" t="inlineStr">
        <is>
          <t>[System 2]: Assess 1 mandatory requirement(s)</t>
        </is>
      </c>
      <c r="F10" s="29" t="inlineStr"/>
      <c r="G10" s="29" t="inlineStr"/>
      <c r="H10" s="29" t="inlineStr"/>
      <c r="I10" s="29" t="inlineStr"/>
      <c r="J10" s="29" t="inlineStr"/>
      <c r="K10" s="29" t="inlineStr"/>
      <c r="L10" s="29" t="inlineStr"/>
      <c r="M10" s="26" t="inlineStr"/>
      <c r="N10" s="26" t="inlineStr"/>
    </row>
    <row r="11">
      <c r="A11" s="7" t="inlineStr">
        <is>
          <t>20.2.1</t>
        </is>
      </c>
      <c r="B11" s="7" t="inlineStr">
        <is>
          <t>NACSA-20.2a-NCII-SYS-002</t>
        </is>
      </c>
      <c r="C11" s="7" t="inlineStr"/>
      <c r="D11" s="7" t="inlineStr"/>
      <c r="E11" s="7" t="inlineStr">
        <is>
          <t>[System 2]: The NCII entity shall provide a secure e-commerce platform by implementing the following:
- Secure c...</t>
        </is>
      </c>
      <c r="F11" s="7" t="inlineStr">
        <is>
          <t>1. Request the monitoring procedure/SMP.
2. Verify monitoring tools deployed (SIEM, IDPS, EDR).
3. Check log source coverage includes all NCII systems.
4. Review MTTD/MTTR KPI performance for the assessment period.</t>
        </is>
      </c>
      <c r="G11" s="7" t="inlineStr">
        <is>
          <t>Monitoring procedure; Tool deployment evidence; Log source inventory; KPI dashboard/reports</t>
        </is>
      </c>
      <c r="H11" s="7" t="inlineStr">
        <is>
          <t>Inspection</t>
        </is>
      </c>
      <c r="I11" s="7" t="inlineStr"/>
      <c r="J11" s="7" t="inlineStr"/>
      <c r="K11" s="7" t="inlineStr"/>
      <c r="L11" s="7" t="inlineStr"/>
      <c r="M11" s="7" t="inlineStr"/>
      <c r="N11" s="7" t="inlineStr"/>
    </row>
    <row r="12">
      <c r="A12" s="29" t="inlineStr">
        <is>
          <t>20.2</t>
        </is>
      </c>
      <c r="B12" s="29" t="inlineStr">
        <is>
          <t>NACSA-20.2-NCII-SYS-003</t>
        </is>
      </c>
      <c r="C12" s="29" t="inlineStr">
        <is>
          <t>SYSTEM</t>
        </is>
      </c>
      <c r="D12" s="29" t="inlineStr">
        <is>
          <t>E-commerce Security Requirements</t>
        </is>
      </c>
      <c r="E12" s="29" t="inlineStr">
        <is>
          <t>[System 3]: Assess 1 mandatory requirement(s)</t>
        </is>
      </c>
      <c r="F12" s="29" t="inlineStr"/>
      <c r="G12" s="29" t="inlineStr"/>
      <c r="H12" s="29" t="inlineStr"/>
      <c r="I12" s="29" t="inlineStr"/>
      <c r="J12" s="29" t="inlineStr"/>
      <c r="K12" s="29" t="inlineStr"/>
      <c r="L12" s="29" t="inlineStr"/>
      <c r="M12" s="26" t="inlineStr"/>
      <c r="N12" s="26" t="inlineStr"/>
    </row>
    <row r="13">
      <c r="A13" s="28" t="inlineStr">
        <is>
          <t>20.2.1</t>
        </is>
      </c>
      <c r="B13" s="28" t="inlineStr">
        <is>
          <t>NACSA-20.2a-NCII-SYS-003</t>
        </is>
      </c>
      <c r="C13" s="28" t="inlineStr"/>
      <c r="D13" s="28" t="inlineStr"/>
      <c r="E13" s="28" t="inlineStr">
        <is>
          <t>[System 3]: The NCII entity shall provide a secure e-commerce platform by implementing the following:
- Secure c...</t>
        </is>
      </c>
      <c r="F13" s="28" t="inlineStr">
        <is>
          <t>1. Request the monitoring procedure/SMP.
2. Verify monitoring tools deployed (SIEM, IDPS, EDR).
3. Check log source coverage includes all NCII systems.
4. Review MTTD/MTTR KPI performance for the assessment period.</t>
        </is>
      </c>
      <c r="G13" s="28" t="inlineStr">
        <is>
          <t>Monitoring procedure; Tool deployment evidence; Log source inventory; KPI dashboard/reports</t>
        </is>
      </c>
      <c r="H13" s="28" t="inlineStr">
        <is>
          <t>Inspection</t>
        </is>
      </c>
      <c r="I13" s="28" t="inlineStr"/>
      <c r="J13" s="28" t="inlineStr"/>
      <c r="K13" s="28" t="inlineStr"/>
      <c r="L13" s="28" t="inlineStr"/>
      <c r="M13" s="28" t="inlineStr"/>
      <c r="N13" s="28" t="inlineStr"/>
    </row>
  </sheetData>
  <mergeCells count="3">
    <mergeCell ref="A7:N7"/>
    <mergeCell ref="A3:N3"/>
    <mergeCell ref="A2:N2"/>
  </mergeCells>
  <conditionalFormatting sqref="M4:M14">
    <cfRule type="cellIs" priority="1" operator="equal" dxfId="0">
      <formula>"P"</formula>
    </cfRule>
    <cfRule type="cellIs" priority="2" operator="equal" dxfId="2">
      <formula>"SP"</formula>
    </cfRule>
    <cfRule type="cellIs" priority="3" operator="equal" dxfId="1">
      <formula>"TP"</formula>
    </cfRule>
    <cfRule type="cellIs" priority="4" operator="equal" dxfId="3">
      <formula>"TB"</formula>
    </cfRule>
  </conditionalFormatting>
  <dataValidations count="1">
    <dataValidation sqref="M2:M13" showDropDown="0" showInputMessage="0" showErrorMessage="1" allowBlank="1" errorTitle="Invalid Rating" error="Enter P, SP, TP, or TB only" type="list">
      <formula1>"P,SP,TP,TB"</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cols>
    <col width="14" customWidth="1" min="1" max="1"/>
    <col width="30" customWidth="1" min="2" max="2"/>
    <col width="14" customWidth="1" min="3" max="3"/>
    <col width="14" customWidth="1" min="4" max="4"/>
    <col width="14" customWidth="1" min="5" max="5"/>
    <col width="40" customWidth="1" min="6" max="6"/>
    <col width="35" customWidth="1" min="7" max="7"/>
    <col width="30" customWidth="1" min="8" max="8"/>
    <col width="35" customWidth="1" min="9" max="9"/>
    <col width="35" customWidth="1" min="10" max="10"/>
    <col width="14" customWidth="1" min="11" max="11"/>
    <col width="18" customWidth="1" min="12" max="12"/>
    <col width="16" customWidth="1" min="13" max="13"/>
    <col width="18" customWidth="1" min="14" max="14"/>
    <col width="14" customWidth="1" min="15" max="15"/>
  </cols>
  <sheetData>
    <row r="1">
      <c r="A1" s="1" t="inlineStr">
        <is>
          <t>FINDING REGISTER — 5 C's Framework with Legal Classification</t>
        </is>
      </c>
    </row>
    <row r="3">
      <c r="A3" s="20" t="inlineStr">
        <is>
          <t>Finding ID</t>
        </is>
      </c>
      <c r="B3" s="20" t="inlineStr">
        <is>
          <t>Title</t>
        </is>
      </c>
      <c r="C3" s="20" t="inlineStr">
        <is>
          <t>CoP Domain</t>
        </is>
      </c>
      <c r="D3" s="20" t="inlineStr">
        <is>
          <t>CoP Ref</t>
        </is>
      </c>
      <c r="E3" s="20" t="inlineStr">
        <is>
          <t>System
(if applicable)</t>
        </is>
      </c>
      <c r="F3" s="20" t="inlineStr">
        <is>
          <t>Condition
(Keadaan Sebenar)</t>
        </is>
      </c>
      <c r="G3" s="20" t="inlineStr">
        <is>
          <t>Criteria
(Act/CoP Reference)</t>
        </is>
      </c>
      <c r="H3" s="20" t="inlineStr">
        <is>
          <t>Cause
(Punca Masalah)</t>
        </is>
      </c>
      <c r="I3" s="20" t="inlineStr">
        <is>
          <t>Consequence
(Impak + Penalty Exposure)</t>
        </is>
      </c>
      <c r="J3" s="20" t="inlineStr">
        <is>
          <t>Corrective Action
(Peluang Penambahbaikan)</t>
        </is>
      </c>
      <c r="K3" s="20" t="inlineStr">
        <is>
          <t>Severity
(K/T/S/R)</t>
        </is>
      </c>
      <c r="L3" s="20" t="inlineStr">
        <is>
          <t>Legal Classification</t>
        </is>
      </c>
      <c r="M3" s="20" t="inlineStr">
        <is>
          <t>Compoundable?</t>
        </is>
      </c>
      <c r="N3" s="20" t="inlineStr">
        <is>
          <t>Status
(Open/In Progress/Remediated/Closed)</t>
        </is>
      </c>
      <c r="O3" s="20" t="inlineStr">
        <is>
          <t>Target Date</t>
        </is>
      </c>
    </row>
    <row r="4">
      <c r="A4" s="7" t="inlineStr">
        <is>
          <t>CoP-2026-001</t>
        </is>
      </c>
      <c r="B4" s="7" t="inlineStr"/>
      <c r="C4" s="7" t="inlineStr"/>
      <c r="D4" s="7" t="inlineStr"/>
      <c r="E4" s="7" t="inlineStr"/>
      <c r="F4" s="7" t="inlineStr"/>
      <c r="G4" s="7" t="inlineStr"/>
      <c r="H4" s="7" t="inlineStr"/>
      <c r="I4" s="7" t="inlineStr"/>
      <c r="J4" s="7" t="inlineStr"/>
      <c r="K4" s="7" t="inlineStr"/>
      <c r="L4" s="7" t="inlineStr"/>
      <c r="M4" s="7" t="inlineStr"/>
      <c r="N4" s="7" t="inlineStr"/>
      <c r="O4" s="7" t="inlineStr"/>
    </row>
    <row r="5">
      <c r="A5" s="7" t="inlineStr">
        <is>
          <t>CoP-2026-002</t>
        </is>
      </c>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row>
    <row r="6">
      <c r="A6" s="7" t="inlineStr">
        <is>
          <t>CoP-2026-003</t>
        </is>
      </c>
      <c r="B6" s="7" t="inlineStr"/>
      <c r="C6" s="7" t="inlineStr"/>
      <c r="D6" s="7" t="inlineStr"/>
      <c r="E6" s="7" t="inlineStr"/>
      <c r="F6" s="7" t="inlineStr"/>
      <c r="G6" s="7" t="inlineStr"/>
      <c r="H6" s="7" t="inlineStr"/>
      <c r="I6" s="7" t="inlineStr"/>
      <c r="J6" s="7" t="inlineStr"/>
      <c r="K6" s="7" t="inlineStr"/>
      <c r="L6" s="7" t="inlineStr"/>
      <c r="M6" s="7" t="inlineStr"/>
      <c r="N6" s="7" t="inlineStr"/>
      <c r="O6" s="7" t="inlineStr"/>
    </row>
    <row r="7">
      <c r="A7" s="7" t="inlineStr">
        <is>
          <t>CoP-2026-004</t>
        </is>
      </c>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row>
    <row r="8">
      <c r="A8" s="7" t="inlineStr">
        <is>
          <t>CoP-2026-005</t>
        </is>
      </c>
      <c r="B8" s="7" t="inlineStr"/>
      <c r="C8" s="7" t="inlineStr"/>
      <c r="D8" s="7" t="inlineStr"/>
      <c r="E8" s="7" t="inlineStr"/>
      <c r="F8" s="7" t="inlineStr"/>
      <c r="G8" s="7" t="inlineStr"/>
      <c r="H8" s="7" t="inlineStr"/>
      <c r="I8" s="7" t="inlineStr"/>
      <c r="J8" s="7" t="inlineStr"/>
      <c r="K8" s="7" t="inlineStr"/>
      <c r="L8" s="7" t="inlineStr"/>
      <c r="M8" s="7" t="inlineStr"/>
      <c r="N8" s="7" t="inlineStr"/>
      <c r="O8" s="7" t="inlineStr"/>
    </row>
    <row r="9">
      <c r="A9" s="7" t="inlineStr">
        <is>
          <t>CoP-2026-006</t>
        </is>
      </c>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row>
    <row r="10">
      <c r="A10" s="7" t="inlineStr">
        <is>
          <t>CoP-2026-007</t>
        </is>
      </c>
      <c r="B10" s="7" t="inlineStr"/>
      <c r="C10" s="7" t="inlineStr"/>
      <c r="D10" s="7" t="inlineStr"/>
      <c r="E10" s="7" t="inlineStr"/>
      <c r="F10" s="7" t="inlineStr"/>
      <c r="G10" s="7" t="inlineStr"/>
      <c r="H10" s="7" t="inlineStr"/>
      <c r="I10" s="7" t="inlineStr"/>
      <c r="J10" s="7" t="inlineStr"/>
      <c r="K10" s="7" t="inlineStr"/>
      <c r="L10" s="7" t="inlineStr"/>
      <c r="M10" s="7" t="inlineStr"/>
      <c r="N10" s="7" t="inlineStr"/>
      <c r="O10" s="7" t="inlineStr"/>
    </row>
    <row r="11">
      <c r="A11" s="7" t="inlineStr">
        <is>
          <t>CoP-2026-008</t>
        </is>
      </c>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row>
    <row r="12">
      <c r="A12" s="7" t="inlineStr">
        <is>
          <t>CoP-2026-009</t>
        </is>
      </c>
      <c r="B12" s="7" t="inlineStr"/>
      <c r="C12" s="7" t="inlineStr"/>
      <c r="D12" s="7" t="inlineStr"/>
      <c r="E12" s="7" t="inlineStr"/>
      <c r="F12" s="7" t="inlineStr"/>
      <c r="G12" s="7" t="inlineStr"/>
      <c r="H12" s="7" t="inlineStr"/>
      <c r="I12" s="7" t="inlineStr"/>
      <c r="J12" s="7" t="inlineStr"/>
      <c r="K12" s="7" t="inlineStr"/>
      <c r="L12" s="7" t="inlineStr"/>
      <c r="M12" s="7" t="inlineStr"/>
      <c r="N12" s="7" t="inlineStr"/>
      <c r="O12" s="7" t="inlineStr"/>
    </row>
    <row r="13">
      <c r="A13" s="7" t="inlineStr">
        <is>
          <t>CoP-2026-010</t>
        </is>
      </c>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row>
    <row r="14">
      <c r="A14" s="7" t="inlineStr">
        <is>
          <t>CoP-2026-011</t>
        </is>
      </c>
      <c r="B14" s="7" t="inlineStr"/>
      <c r="C14" s="7" t="inlineStr"/>
      <c r="D14" s="7" t="inlineStr"/>
      <c r="E14" s="7" t="inlineStr"/>
      <c r="F14" s="7" t="inlineStr"/>
      <c r="G14" s="7" t="inlineStr"/>
      <c r="H14" s="7" t="inlineStr"/>
      <c r="I14" s="7" t="inlineStr"/>
      <c r="J14" s="7" t="inlineStr"/>
      <c r="K14" s="7" t="inlineStr"/>
      <c r="L14" s="7" t="inlineStr"/>
      <c r="M14" s="7" t="inlineStr"/>
      <c r="N14" s="7" t="inlineStr"/>
      <c r="O14" s="7" t="inlineStr"/>
    </row>
    <row r="15">
      <c r="A15" s="7" t="inlineStr">
        <is>
          <t>CoP-2026-012</t>
        </is>
      </c>
      <c r="B15" s="7" t="inlineStr"/>
      <c r="C15" s="7" t="inlineStr"/>
      <c r="D15" s="7" t="inlineStr"/>
      <c r="E15" s="7" t="inlineStr"/>
      <c r="F15" s="7" t="inlineStr"/>
      <c r="G15" s="7" t="inlineStr"/>
      <c r="H15" s="7" t="inlineStr"/>
      <c r="I15" s="7" t="inlineStr"/>
      <c r="J15" s="7" t="inlineStr"/>
      <c r="K15" s="7" t="inlineStr"/>
      <c r="L15" s="7" t="inlineStr"/>
      <c r="M15" s="7" t="inlineStr"/>
      <c r="N15" s="7" t="inlineStr"/>
      <c r="O15" s="7" t="inlineStr"/>
    </row>
    <row r="16">
      <c r="A16" s="7" t="inlineStr">
        <is>
          <t>CoP-2026-013</t>
        </is>
      </c>
      <c r="B16" s="7" t="inlineStr"/>
      <c r="C16" s="7" t="inlineStr"/>
      <c r="D16" s="7" t="inlineStr"/>
      <c r="E16" s="7" t="inlineStr"/>
      <c r="F16" s="7" t="inlineStr"/>
      <c r="G16" s="7" t="inlineStr"/>
      <c r="H16" s="7" t="inlineStr"/>
      <c r="I16" s="7" t="inlineStr"/>
      <c r="J16" s="7" t="inlineStr"/>
      <c r="K16" s="7" t="inlineStr"/>
      <c r="L16" s="7" t="inlineStr"/>
      <c r="M16" s="7" t="inlineStr"/>
      <c r="N16" s="7" t="inlineStr"/>
      <c r="O16" s="7" t="inlineStr"/>
    </row>
    <row r="17">
      <c r="A17" s="7" t="inlineStr">
        <is>
          <t>CoP-2026-014</t>
        </is>
      </c>
      <c r="B17" s="7" t="inlineStr"/>
      <c r="C17" s="7" t="inlineStr"/>
      <c r="D17" s="7" t="inlineStr"/>
      <c r="E17" s="7" t="inlineStr"/>
      <c r="F17" s="7" t="inlineStr"/>
      <c r="G17" s="7" t="inlineStr"/>
      <c r="H17" s="7" t="inlineStr"/>
      <c r="I17" s="7" t="inlineStr"/>
      <c r="J17" s="7" t="inlineStr"/>
      <c r="K17" s="7" t="inlineStr"/>
      <c r="L17" s="7" t="inlineStr"/>
      <c r="M17" s="7" t="inlineStr"/>
      <c r="N17" s="7" t="inlineStr"/>
      <c r="O17" s="7" t="inlineStr"/>
    </row>
    <row r="18">
      <c r="A18" s="7" t="inlineStr">
        <is>
          <t>CoP-2026-015</t>
        </is>
      </c>
      <c r="B18" s="7" t="inlineStr"/>
      <c r="C18" s="7" t="inlineStr"/>
      <c r="D18" s="7" t="inlineStr"/>
      <c r="E18" s="7" t="inlineStr"/>
      <c r="F18" s="7" t="inlineStr"/>
      <c r="G18" s="7" t="inlineStr"/>
      <c r="H18" s="7" t="inlineStr"/>
      <c r="I18" s="7" t="inlineStr"/>
      <c r="J18" s="7" t="inlineStr"/>
      <c r="K18" s="7" t="inlineStr"/>
      <c r="L18" s="7" t="inlineStr"/>
      <c r="M18" s="7" t="inlineStr"/>
      <c r="N18" s="7" t="inlineStr"/>
      <c r="O18" s="7" t="inlineStr"/>
    </row>
    <row r="19">
      <c r="A19" s="7" t="inlineStr">
        <is>
          <t>CoP-2026-016</t>
        </is>
      </c>
      <c r="B19" s="7" t="inlineStr"/>
      <c r="C19" s="7" t="inlineStr"/>
      <c r="D19" s="7" t="inlineStr"/>
      <c r="E19" s="7" t="inlineStr"/>
      <c r="F19" s="7" t="inlineStr"/>
      <c r="G19" s="7" t="inlineStr"/>
      <c r="H19" s="7" t="inlineStr"/>
      <c r="I19" s="7" t="inlineStr"/>
      <c r="J19" s="7" t="inlineStr"/>
      <c r="K19" s="7" t="inlineStr"/>
      <c r="L19" s="7" t="inlineStr"/>
      <c r="M19" s="7" t="inlineStr"/>
      <c r="N19" s="7" t="inlineStr"/>
      <c r="O19" s="7" t="inlineStr"/>
    </row>
    <row r="20">
      <c r="A20" s="7" t="inlineStr">
        <is>
          <t>CoP-2026-017</t>
        </is>
      </c>
      <c r="B20" s="7" t="inlineStr"/>
      <c r="C20" s="7" t="inlineStr"/>
      <c r="D20" s="7" t="inlineStr"/>
      <c r="E20" s="7" t="inlineStr"/>
      <c r="F20" s="7" t="inlineStr"/>
      <c r="G20" s="7" t="inlineStr"/>
      <c r="H20" s="7" t="inlineStr"/>
      <c r="I20" s="7" t="inlineStr"/>
      <c r="J20" s="7" t="inlineStr"/>
      <c r="K20" s="7" t="inlineStr"/>
      <c r="L20" s="7" t="inlineStr"/>
      <c r="M20" s="7" t="inlineStr"/>
      <c r="N20" s="7" t="inlineStr"/>
      <c r="O20" s="7" t="inlineStr"/>
    </row>
    <row r="21">
      <c r="A21" s="7" t="inlineStr">
        <is>
          <t>CoP-2026-018</t>
        </is>
      </c>
      <c r="B21" s="7" t="inlineStr"/>
      <c r="C21" s="7" t="inlineStr"/>
      <c r="D21" s="7" t="inlineStr"/>
      <c r="E21" s="7" t="inlineStr"/>
      <c r="F21" s="7" t="inlineStr"/>
      <c r="G21" s="7" t="inlineStr"/>
      <c r="H21" s="7" t="inlineStr"/>
      <c r="I21" s="7" t="inlineStr"/>
      <c r="J21" s="7" t="inlineStr"/>
      <c r="K21" s="7" t="inlineStr"/>
      <c r="L21" s="7" t="inlineStr"/>
      <c r="M21" s="7" t="inlineStr"/>
      <c r="N21" s="7" t="inlineStr"/>
      <c r="O21" s="7" t="inlineStr"/>
    </row>
    <row r="22">
      <c r="A22" s="7" t="inlineStr">
        <is>
          <t>CoP-2026-019</t>
        </is>
      </c>
      <c r="B22" s="7" t="inlineStr"/>
      <c r="C22" s="7" t="inlineStr"/>
      <c r="D22" s="7" t="inlineStr"/>
      <c r="E22" s="7" t="inlineStr"/>
      <c r="F22" s="7" t="inlineStr"/>
      <c r="G22" s="7" t="inlineStr"/>
      <c r="H22" s="7" t="inlineStr"/>
      <c r="I22" s="7" t="inlineStr"/>
      <c r="J22" s="7" t="inlineStr"/>
      <c r="K22" s="7" t="inlineStr"/>
      <c r="L22" s="7" t="inlineStr"/>
      <c r="M22" s="7" t="inlineStr"/>
      <c r="N22" s="7" t="inlineStr"/>
      <c r="O22" s="7" t="inlineStr"/>
    </row>
    <row r="23">
      <c r="A23" s="7" t="inlineStr">
        <is>
          <t>CoP-2026-020</t>
        </is>
      </c>
      <c r="B23" s="7" t="inlineStr"/>
      <c r="C23" s="7" t="inlineStr"/>
      <c r="D23" s="7" t="inlineStr"/>
      <c r="E23" s="7" t="inlineStr"/>
      <c r="F23" s="7" t="inlineStr"/>
      <c r="G23" s="7" t="inlineStr"/>
      <c r="H23" s="7" t="inlineStr"/>
      <c r="I23" s="7" t="inlineStr"/>
      <c r="J23" s="7" t="inlineStr"/>
      <c r="K23" s="7" t="inlineStr"/>
      <c r="L23" s="7" t="inlineStr"/>
      <c r="M23" s="7" t="inlineStr"/>
      <c r="N23" s="7" t="inlineStr"/>
      <c r="O23" s="7" t="inlineStr"/>
    </row>
    <row r="24">
      <c r="A24" s="7" t="inlineStr">
        <is>
          <t>CoP-2026-021</t>
        </is>
      </c>
      <c r="B24" s="7" t="inlineStr"/>
      <c r="C24" s="7" t="inlineStr"/>
      <c r="D24" s="7" t="inlineStr"/>
      <c r="E24" s="7" t="inlineStr"/>
      <c r="F24" s="7" t="inlineStr"/>
      <c r="G24" s="7" t="inlineStr"/>
      <c r="H24" s="7" t="inlineStr"/>
      <c r="I24" s="7" t="inlineStr"/>
      <c r="J24" s="7" t="inlineStr"/>
      <c r="K24" s="7" t="inlineStr"/>
      <c r="L24" s="7" t="inlineStr"/>
      <c r="M24" s="7" t="inlineStr"/>
      <c r="N24" s="7" t="inlineStr"/>
      <c r="O24" s="7" t="inlineStr"/>
    </row>
    <row r="25">
      <c r="A25" s="7" t="inlineStr">
        <is>
          <t>CoP-2026-022</t>
        </is>
      </c>
      <c r="B25" s="7" t="inlineStr"/>
      <c r="C25" s="7" t="inlineStr"/>
      <c r="D25" s="7" t="inlineStr"/>
      <c r="E25" s="7" t="inlineStr"/>
      <c r="F25" s="7" t="inlineStr"/>
      <c r="G25" s="7" t="inlineStr"/>
      <c r="H25" s="7" t="inlineStr"/>
      <c r="I25" s="7" t="inlineStr"/>
      <c r="J25" s="7" t="inlineStr"/>
      <c r="K25" s="7" t="inlineStr"/>
      <c r="L25" s="7" t="inlineStr"/>
      <c r="M25" s="7" t="inlineStr"/>
      <c r="N25" s="7" t="inlineStr"/>
      <c r="O25" s="7" t="inlineStr"/>
    </row>
    <row r="26">
      <c r="A26" s="7" t="inlineStr">
        <is>
          <t>CoP-2026-023</t>
        </is>
      </c>
      <c r="B26" s="7" t="inlineStr"/>
      <c r="C26" s="7" t="inlineStr"/>
      <c r="D26" s="7" t="inlineStr"/>
      <c r="E26" s="7" t="inlineStr"/>
      <c r="F26" s="7" t="inlineStr"/>
      <c r="G26" s="7" t="inlineStr"/>
      <c r="H26" s="7" t="inlineStr"/>
      <c r="I26" s="7" t="inlineStr"/>
      <c r="J26" s="7" t="inlineStr"/>
      <c r="K26" s="7" t="inlineStr"/>
      <c r="L26" s="7" t="inlineStr"/>
      <c r="M26" s="7" t="inlineStr"/>
      <c r="N26" s="7" t="inlineStr"/>
      <c r="O26" s="7" t="inlineStr"/>
    </row>
    <row r="27">
      <c r="A27" s="7" t="inlineStr">
        <is>
          <t>CoP-2026-024</t>
        </is>
      </c>
      <c r="B27" s="7" t="inlineStr"/>
      <c r="C27" s="7" t="inlineStr"/>
      <c r="D27" s="7" t="inlineStr"/>
      <c r="E27" s="7" t="inlineStr"/>
      <c r="F27" s="7" t="inlineStr"/>
      <c r="G27" s="7" t="inlineStr"/>
      <c r="H27" s="7" t="inlineStr"/>
      <c r="I27" s="7" t="inlineStr"/>
      <c r="J27" s="7" t="inlineStr"/>
      <c r="K27" s="7" t="inlineStr"/>
      <c r="L27" s="7" t="inlineStr"/>
      <c r="M27" s="7" t="inlineStr"/>
      <c r="N27" s="7" t="inlineStr"/>
      <c r="O27" s="7" t="inlineStr"/>
    </row>
    <row r="28">
      <c r="A28" s="7" t="inlineStr">
        <is>
          <t>CoP-2026-025</t>
        </is>
      </c>
      <c r="B28" s="7" t="inlineStr"/>
      <c r="C28" s="7" t="inlineStr"/>
      <c r="D28" s="7" t="inlineStr"/>
      <c r="E28" s="7" t="inlineStr"/>
      <c r="F28" s="7" t="inlineStr"/>
      <c r="G28" s="7" t="inlineStr"/>
      <c r="H28" s="7" t="inlineStr"/>
      <c r="I28" s="7" t="inlineStr"/>
      <c r="J28" s="7" t="inlineStr"/>
      <c r="K28" s="7" t="inlineStr"/>
      <c r="L28" s="7" t="inlineStr"/>
      <c r="M28" s="7" t="inlineStr"/>
      <c r="N28" s="7" t="inlineStr"/>
      <c r="O28" s="7" t="inlineStr"/>
    </row>
    <row r="29">
      <c r="A29" s="7" t="inlineStr">
        <is>
          <t>CoP-2026-026</t>
        </is>
      </c>
      <c r="B29" s="7" t="inlineStr"/>
      <c r="C29" s="7" t="inlineStr"/>
      <c r="D29" s="7" t="inlineStr"/>
      <c r="E29" s="7" t="inlineStr"/>
      <c r="F29" s="7" t="inlineStr"/>
      <c r="G29" s="7" t="inlineStr"/>
      <c r="H29" s="7" t="inlineStr"/>
      <c r="I29" s="7" t="inlineStr"/>
      <c r="J29" s="7" t="inlineStr"/>
      <c r="K29" s="7" t="inlineStr"/>
      <c r="L29" s="7" t="inlineStr"/>
      <c r="M29" s="7" t="inlineStr"/>
      <c r="N29" s="7" t="inlineStr"/>
      <c r="O29" s="7" t="inlineStr"/>
    </row>
    <row r="30">
      <c r="A30" s="7" t="inlineStr">
        <is>
          <t>CoP-2026-027</t>
        </is>
      </c>
      <c r="B30" s="7" t="inlineStr"/>
      <c r="C30" s="7" t="inlineStr"/>
      <c r="D30" s="7" t="inlineStr"/>
      <c r="E30" s="7" t="inlineStr"/>
      <c r="F30" s="7" t="inlineStr"/>
      <c r="G30" s="7" t="inlineStr"/>
      <c r="H30" s="7" t="inlineStr"/>
      <c r="I30" s="7" t="inlineStr"/>
      <c r="J30" s="7" t="inlineStr"/>
      <c r="K30" s="7" t="inlineStr"/>
      <c r="L30" s="7" t="inlineStr"/>
      <c r="M30" s="7" t="inlineStr"/>
      <c r="N30" s="7" t="inlineStr"/>
      <c r="O30" s="7" t="inlineStr"/>
    </row>
    <row r="31">
      <c r="A31" s="7" t="inlineStr">
        <is>
          <t>CoP-2026-028</t>
        </is>
      </c>
      <c r="B31" s="7" t="inlineStr"/>
      <c r="C31" s="7" t="inlineStr"/>
      <c r="D31" s="7" t="inlineStr"/>
      <c r="E31" s="7" t="inlineStr"/>
      <c r="F31" s="7" t="inlineStr"/>
      <c r="G31" s="7" t="inlineStr"/>
      <c r="H31" s="7" t="inlineStr"/>
      <c r="I31" s="7" t="inlineStr"/>
      <c r="J31" s="7" t="inlineStr"/>
      <c r="K31" s="7" t="inlineStr"/>
      <c r="L31" s="7" t="inlineStr"/>
      <c r="M31" s="7" t="inlineStr"/>
      <c r="N31" s="7" t="inlineStr"/>
      <c r="O31" s="7" t="inlineStr"/>
    </row>
    <row r="32">
      <c r="A32" s="7" t="inlineStr">
        <is>
          <t>CoP-2026-029</t>
        </is>
      </c>
      <c r="B32" s="7" t="inlineStr"/>
      <c r="C32" s="7" t="inlineStr"/>
      <c r="D32" s="7" t="inlineStr"/>
      <c r="E32" s="7" t="inlineStr"/>
      <c r="F32" s="7" t="inlineStr"/>
      <c r="G32" s="7" t="inlineStr"/>
      <c r="H32" s="7" t="inlineStr"/>
      <c r="I32" s="7" t="inlineStr"/>
      <c r="J32" s="7" t="inlineStr"/>
      <c r="K32" s="7" t="inlineStr"/>
      <c r="L32" s="7" t="inlineStr"/>
      <c r="M32" s="7" t="inlineStr"/>
      <c r="N32" s="7" t="inlineStr"/>
      <c r="O32" s="7" t="inlineStr"/>
    </row>
    <row r="33">
      <c r="A33" s="7" t="inlineStr">
        <is>
          <t>CoP-2026-030</t>
        </is>
      </c>
      <c r="B33" s="7" t="inlineStr"/>
      <c r="C33" s="7" t="inlineStr"/>
      <c r="D33" s="7" t="inlineStr"/>
      <c r="E33" s="7" t="inlineStr"/>
      <c r="F33" s="7" t="inlineStr"/>
      <c r="G33" s="7" t="inlineStr"/>
      <c r="H33" s="7" t="inlineStr"/>
      <c r="I33" s="7" t="inlineStr"/>
      <c r="J33" s="7" t="inlineStr"/>
      <c r="K33" s="7" t="inlineStr"/>
      <c r="L33" s="7" t="inlineStr"/>
      <c r="M33" s="7" t="inlineStr"/>
      <c r="N33" s="7" t="inlineStr"/>
      <c r="O33" s="7" t="inlineStr"/>
    </row>
    <row r="36">
      <c r="A36" s="8" t="inlineStr">
        <is>
          <t>Severity: K = Kritikal (30 days) | T = Tinggi (90 days) | S = Sederhana (180 days) | R = Rendah (next audit cycle)</t>
        </is>
      </c>
    </row>
    <row r="37">
      <c r="A37" s="8" t="inlineStr">
        <is>
          <t>Legal Classification: Statutory (s17-s26) | CoP (Code of Practice) | Standard (CE standard) | Improvement (not a finding)</t>
        </is>
      </c>
    </row>
  </sheetData>
  <mergeCells count="3">
    <mergeCell ref="A1:O1"/>
    <mergeCell ref="A37:O37"/>
    <mergeCell ref="A36:O36"/>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35" customWidth="1" min="1" max="1"/>
    <col width="16" customWidth="1" min="2" max="2"/>
    <col width="20" customWidth="1" min="3" max="3"/>
    <col width="18" customWidth="1" min="4" max="4"/>
    <col width="14" customWidth="1" min="5" max="5"/>
    <col width="16" customWidth="1" min="6" max="6"/>
    <col width="16" customWidth="1" min="7" max="7"/>
    <col width="18" customWidth="1" min="8" max="8"/>
  </cols>
  <sheetData>
    <row r="1">
      <c r="A1" s="1" t="inlineStr">
        <is>
          <t>SCORING DASHBOARD</t>
        </is>
      </c>
    </row>
    <row r="3">
      <c r="A3" s="30" t="inlineStr">
        <is>
          <t>Conclusions are at the CONTROL DOMAIN level only (domain rows with green/orange fill). Sub-item rows have observations but no conclusion. Compliance ratings: P = Patuh | SP = Separa Patuh | TP = Tidak Patuh | TB = Tidak Berkenaan.</t>
        </is>
      </c>
    </row>
    <row r="5">
      <c r="A5" s="2" t="inlineStr">
        <is>
          <t>OVERALL SUMMARY</t>
        </is>
      </c>
    </row>
    <row r="6">
      <c r="A6" s="9" t="inlineStr">
        <is>
          <t>Metric</t>
        </is>
      </c>
      <c r="B6" s="9" t="inlineStr">
        <is>
          <t>Value</t>
        </is>
      </c>
    </row>
    <row r="7">
      <c r="A7" s="6" t="inlineStr">
        <is>
          <t>Total Patuh (P)</t>
        </is>
      </c>
      <c r="B7" s="31">
        <f>SUM(B21:B37)</f>
        <v/>
      </c>
    </row>
    <row r="8">
      <c r="A8" s="6" t="inlineStr">
        <is>
          <t>Total Separa Patuh (SP)</t>
        </is>
      </c>
      <c r="B8" s="32">
        <f>SUM(C21:C37)</f>
        <v/>
      </c>
    </row>
    <row r="9">
      <c r="A9" s="6" t="inlineStr">
        <is>
          <t>Total Tidak Patuh (TP)</t>
        </is>
      </c>
      <c r="B9" s="33">
        <f>SUM(D21:D37)</f>
        <v/>
      </c>
    </row>
    <row r="10">
      <c r="A10" s="6" t="inlineStr">
        <is>
          <t>Total Tidak Berkenaan (TB)</t>
        </is>
      </c>
      <c r="B10" s="34">
        <f>SUM(E21:E37)</f>
        <v/>
      </c>
    </row>
    <row r="11">
      <c r="A11" s="6" t="inlineStr">
        <is>
          <t>Total Not Assessed</t>
        </is>
      </c>
      <c r="B11" s="10">
        <f>SUM(F21:F37)</f>
        <v/>
      </c>
    </row>
    <row r="12">
      <c r="A12" s="6" t="inlineStr">
        <is>
          <t>Total Control Domains</t>
        </is>
      </c>
      <c r="B12" s="10">
        <f>SUM(G21:G37)</f>
        <v/>
      </c>
    </row>
    <row r="13">
      <c r="A13" s="6" t="inlineStr">
        <is>
          <t>Overall Compliance %</t>
        </is>
      </c>
      <c r="B13" s="35">
        <f>IF((B12-B10-B11)=0,"—",B7/(B12-B10-B11))</f>
        <v/>
      </c>
    </row>
    <row r="15">
      <c r="A15" s="2" t="inlineStr">
        <is>
          <t>SUPPLEMENTARY OPINION INDICATOR</t>
        </is>
      </c>
    </row>
    <row r="16">
      <c r="A16" s="6" t="inlineStr">
        <is>
          <t>Opinion</t>
        </is>
      </c>
      <c r="B16" s="11">
        <f>IF(B9&gt;5,"Tidak Memuaskan (Unsatisfactory)",IF(B9&gt;0,"Perlu Penambahbaikan (Needs Improvement)",IF(B8&lt;=3,"Memuaskan (Satisfactory)","Perlu Penambahbaikan (Needs Improvement)")))</f>
        <v/>
      </c>
    </row>
    <row r="17">
      <c r="A17" s="36" t="inlineStr">
        <is>
          <t>Criteria:</t>
        </is>
      </c>
      <c r="B17" s="37" t="inlineStr">
        <is>
          <t>Memuaskan: TP=0 and K findings=0  |  Perlu Penambahbaikan: TP&gt;0 and TP&lt;=5, or T findings&gt;0  |  Tidak Memuaskan: TP&gt;5, or K findings&gt;0</t>
        </is>
      </c>
      <c r="C17" s="38" t="n"/>
      <c r="D17" s="38" t="n"/>
      <c r="E17" s="38" t="n"/>
      <c r="F17" s="38" t="n"/>
      <c r="G17" s="38" t="n"/>
      <c r="H17" s="39" t="n"/>
    </row>
    <row r="19">
      <c r="A19" s="2" t="inlineStr">
        <is>
          <t>PER-DOMAIN BREAKDOWN</t>
        </is>
      </c>
    </row>
    <row r="20">
      <c r="A20" s="20" t="inlineStr">
        <is>
          <t>Domain Sheet</t>
        </is>
      </c>
      <c r="B20" s="20" t="inlineStr">
        <is>
          <t>P (Patuh)</t>
        </is>
      </c>
      <c r="C20" s="20" t="inlineStr">
        <is>
          <t>SP (Separa Patuh)</t>
        </is>
      </c>
      <c r="D20" s="20" t="inlineStr">
        <is>
          <t>TP (Tidak Patuh)</t>
        </is>
      </c>
      <c r="E20" s="20" t="inlineStr">
        <is>
          <t>TB</t>
        </is>
      </c>
      <c r="F20" s="20" t="inlineStr">
        <is>
          <t>Not Assessed</t>
        </is>
      </c>
      <c r="G20" s="20" t="inlineStr">
        <is>
          <t>Total Domains</t>
        </is>
      </c>
      <c r="H20" s="20" t="inlineStr">
        <is>
          <t>Compliance %</t>
        </is>
      </c>
    </row>
    <row r="21">
      <c r="A21" s="6" t="inlineStr">
        <is>
          <t>CoP 4.0 Governance and Leadersh</t>
        </is>
      </c>
      <c r="B21" s="31">
        <f>COUNTIF('CoP 4.0 Governance and Leadersh'!M:M,"P")</f>
        <v/>
      </c>
      <c r="C21" s="32">
        <f>COUNTIF('CoP 4.0 Governance and Leadersh'!M:M,"SP")</f>
        <v/>
      </c>
      <c r="D21" s="33">
        <f>COUNTIF('CoP 4.0 Governance and Leadersh'!M:M,"TP")</f>
        <v/>
      </c>
      <c r="E21" s="34">
        <f>COUNTIF('CoP 4.0 Governance and Leadersh'!M:M,"TB")</f>
        <v/>
      </c>
      <c r="F21" s="10">
        <f>COUNTIFS('CoP 4.0 Governance and Leadersh'!B:B,"&lt;&gt;",'CoP 4.0 Governance and Leadersh'!C:C,"&lt;&gt;",'CoP 4.0 Governance and Leadersh'!M:M,"=")-COUNTIF('CoP 4.0 Governance and Leadersh'!B:B,"AWP Ref")</f>
        <v/>
      </c>
      <c r="G21" s="10">
        <f>COUNTIFS('CoP 4.0 Governance and Leadersh'!B:B,"&lt;&gt;",'CoP 4.0 Governance and Leadersh'!C:C,"&lt;&gt;")-COUNTIF('CoP 4.0 Governance and Leadersh'!B:B,"AWP Ref")</f>
        <v/>
      </c>
      <c r="H21" s="35">
        <f>IF((G21-E21-F21)=0,"—",B21/(G21-E21-F21))</f>
        <v/>
      </c>
    </row>
    <row r="22">
      <c r="A22" s="6" t="inlineStr">
        <is>
          <t>CoP 5.0 Cyber Security Policy a</t>
        </is>
      </c>
      <c r="B22" s="31">
        <f>COUNTIF('CoP 5.0 Cyber Security Policy a'!M:M,"P")</f>
        <v/>
      </c>
      <c r="C22" s="32">
        <f>COUNTIF('CoP 5.0 Cyber Security Policy a'!M:M,"SP")</f>
        <v/>
      </c>
      <c r="D22" s="33">
        <f>COUNTIF('CoP 5.0 Cyber Security Policy a'!M:M,"TP")</f>
        <v/>
      </c>
      <c r="E22" s="34">
        <f>COUNTIF('CoP 5.0 Cyber Security Policy a'!M:M,"TB")</f>
        <v/>
      </c>
      <c r="F22" s="10">
        <f>COUNTIFS('CoP 5.0 Cyber Security Policy a'!B:B,"&lt;&gt;",'CoP 5.0 Cyber Security Policy a'!C:C,"&lt;&gt;",'CoP 5.0 Cyber Security Policy a'!M:M,"=")-COUNTIF('CoP 5.0 Cyber Security Policy a'!B:B,"AWP Ref")</f>
        <v/>
      </c>
      <c r="G22" s="10">
        <f>COUNTIFS('CoP 5.0 Cyber Security Policy a'!B:B,"&lt;&gt;",'CoP 5.0 Cyber Security Policy a'!C:C,"&lt;&gt;")-COUNTIF('CoP 5.0 Cyber Security Policy a'!B:B,"AWP Ref")</f>
        <v/>
      </c>
      <c r="H22" s="35">
        <f>IF((G22-E22-F22)=0,"—",B22/(G22-E22-F22))</f>
        <v/>
      </c>
    </row>
    <row r="23">
      <c r="A23" s="6" t="inlineStr">
        <is>
          <t>CoP 6.0 Organisational Developm</t>
        </is>
      </c>
      <c r="B23" s="31">
        <f>COUNTIF('CoP 6.0 Organisational Developm'!M:M,"P")</f>
        <v/>
      </c>
      <c r="C23" s="32">
        <f>COUNTIF('CoP 6.0 Organisational Developm'!M:M,"SP")</f>
        <v/>
      </c>
      <c r="D23" s="33">
        <f>COUNTIF('CoP 6.0 Organisational Developm'!M:M,"TP")</f>
        <v/>
      </c>
      <c r="E23" s="34">
        <f>COUNTIF('CoP 6.0 Organisational Developm'!M:M,"TB")</f>
        <v/>
      </c>
      <c r="F23" s="10">
        <f>COUNTIFS('CoP 6.0 Organisational Developm'!B:B,"&lt;&gt;",'CoP 6.0 Organisational Developm'!C:C,"&lt;&gt;",'CoP 6.0 Organisational Developm'!M:M,"=")-COUNTIF('CoP 6.0 Organisational Developm'!B:B,"AWP Ref")</f>
        <v/>
      </c>
      <c r="G23" s="10">
        <f>COUNTIFS('CoP 6.0 Organisational Developm'!B:B,"&lt;&gt;",'CoP 6.0 Organisational Developm'!C:C,"&lt;&gt;")-COUNTIF('CoP 6.0 Organisational Developm'!B:B,"AWP Ref")</f>
        <v/>
      </c>
      <c r="H23" s="35">
        <f>IF((G23-E23-F23)=0,"—",B23/(G23-E23-F23))</f>
        <v/>
      </c>
    </row>
    <row r="24">
      <c r="A24" s="6" t="inlineStr">
        <is>
          <t>CoP 7.0 Cyber Security Assuranc</t>
        </is>
      </c>
      <c r="B24" s="31">
        <f>COUNTIF('CoP 7.0 Cyber Security Assuranc'!M:M,"P")</f>
        <v/>
      </c>
      <c r="C24" s="32">
        <f>COUNTIF('CoP 7.0 Cyber Security Assuranc'!M:M,"SP")</f>
        <v/>
      </c>
      <c r="D24" s="33">
        <f>COUNTIF('CoP 7.0 Cyber Security Assuranc'!M:M,"TP")</f>
        <v/>
      </c>
      <c r="E24" s="34">
        <f>COUNTIF('CoP 7.0 Cyber Security Assuranc'!M:M,"TB")</f>
        <v/>
      </c>
      <c r="F24" s="10">
        <f>COUNTIFS('CoP 7.0 Cyber Security Assuranc'!B:B,"&lt;&gt;",'CoP 7.0 Cyber Security Assuranc'!C:C,"&lt;&gt;",'CoP 7.0 Cyber Security Assuranc'!M:M,"=")-COUNTIF('CoP 7.0 Cyber Security Assuranc'!B:B,"AWP Ref")</f>
        <v/>
      </c>
      <c r="G24" s="10">
        <f>COUNTIFS('CoP 7.0 Cyber Security Assuranc'!B:B,"&lt;&gt;",'CoP 7.0 Cyber Security Assuranc'!C:C,"&lt;&gt;")-COUNTIF('CoP 7.0 Cyber Security Assuranc'!B:B,"AWP Ref")</f>
        <v/>
      </c>
      <c r="H24" s="35">
        <f>IF((G24-E24-F24)=0,"—",B24/(G24-E24-F24))</f>
        <v/>
      </c>
    </row>
    <row r="25">
      <c r="A25" s="6" t="inlineStr">
        <is>
          <t>CoP 8.0 Resource Allocation and</t>
        </is>
      </c>
      <c r="B25" s="31">
        <f>COUNTIF('CoP 8.0 Resource Allocation and'!M:M,"P")</f>
        <v/>
      </c>
      <c r="C25" s="32">
        <f>COUNTIF('CoP 8.0 Resource Allocation and'!M:M,"SP")</f>
        <v/>
      </c>
      <c r="D25" s="33">
        <f>COUNTIF('CoP 8.0 Resource Allocation and'!M:M,"TP")</f>
        <v/>
      </c>
      <c r="E25" s="34">
        <f>COUNTIF('CoP 8.0 Resource Allocation and'!M:M,"TB")</f>
        <v/>
      </c>
      <c r="F25" s="10">
        <f>COUNTIFS('CoP 8.0 Resource Allocation and'!B:B,"&lt;&gt;",'CoP 8.0 Resource Allocation and'!C:C,"&lt;&gt;",'CoP 8.0 Resource Allocation and'!M:M,"=")-COUNTIF('CoP 8.0 Resource Allocation and'!B:B,"AWP Ref")</f>
        <v/>
      </c>
      <c r="G25" s="10">
        <f>COUNTIFS('CoP 8.0 Resource Allocation and'!B:B,"&lt;&gt;",'CoP 8.0 Resource Allocation and'!C:C,"&lt;&gt;")-COUNTIF('CoP 8.0 Resource Allocation and'!B:B,"AWP Ref")</f>
        <v/>
      </c>
      <c r="H25" s="35">
        <f>IF((G25-E25-F25)=0,"—",B25/(G25-E25-F25))</f>
        <v/>
      </c>
    </row>
    <row r="26">
      <c r="A26" s="6" t="inlineStr">
        <is>
          <t>CoP 9.0 Risk Management</t>
        </is>
      </c>
      <c r="B26" s="31">
        <f>COUNTIF('CoP 9.0 Risk Management'!M:M,"P")</f>
        <v/>
      </c>
      <c r="C26" s="32">
        <f>COUNTIF('CoP 9.0 Risk Management'!M:M,"SP")</f>
        <v/>
      </c>
      <c r="D26" s="33">
        <f>COUNTIF('CoP 9.0 Risk Management'!M:M,"TP")</f>
        <v/>
      </c>
      <c r="E26" s="34">
        <f>COUNTIF('CoP 9.0 Risk Management'!M:M,"TB")</f>
        <v/>
      </c>
      <c r="F26" s="10">
        <f>COUNTIFS('CoP 9.0 Risk Management'!B:B,"&lt;&gt;",'CoP 9.0 Risk Management'!C:C,"&lt;&gt;",'CoP 9.0 Risk Management'!M:M,"=")-COUNTIF('CoP 9.0 Risk Management'!B:B,"AWP Ref")</f>
        <v/>
      </c>
      <c r="G26" s="10">
        <f>COUNTIFS('CoP 9.0 Risk Management'!B:B,"&lt;&gt;",'CoP 9.0 Risk Management'!C:C,"&lt;&gt;")-COUNTIF('CoP 9.0 Risk Management'!B:B,"AWP Ref")</f>
        <v/>
      </c>
      <c r="H26" s="35">
        <f>IF((G26-E26-F26)=0,"—",B26/(G26-E26-F26))</f>
        <v/>
      </c>
    </row>
    <row r="27">
      <c r="A27" s="6" t="inlineStr">
        <is>
          <t>CoP 10.0 Operational Efficiency</t>
        </is>
      </c>
      <c r="B27" s="31">
        <f>COUNTIF('CoP 10.0 Operational Efficiency'!M:M,"P")</f>
        <v/>
      </c>
      <c r="C27" s="32">
        <f>COUNTIF('CoP 10.0 Operational Efficiency'!M:M,"SP")</f>
        <v/>
      </c>
      <c r="D27" s="33">
        <f>COUNTIF('CoP 10.0 Operational Efficiency'!M:M,"TP")</f>
        <v/>
      </c>
      <c r="E27" s="34">
        <f>COUNTIF('CoP 10.0 Operational Efficiency'!M:M,"TB")</f>
        <v/>
      </c>
      <c r="F27" s="10">
        <f>COUNTIFS('CoP 10.0 Operational Efficiency'!B:B,"&lt;&gt;",'CoP 10.0 Operational Efficiency'!C:C,"&lt;&gt;",'CoP 10.0 Operational Efficiency'!M:M,"=")-COUNTIF('CoP 10.0 Operational Efficiency'!B:B,"AWP Ref")</f>
        <v/>
      </c>
      <c r="G27" s="10">
        <f>COUNTIFS('CoP 10.0 Operational Efficiency'!B:B,"&lt;&gt;",'CoP 10.0 Operational Efficiency'!C:C,"&lt;&gt;")-COUNTIF('CoP 10.0 Operational Efficiency'!B:B,"AWP Ref")</f>
        <v/>
      </c>
      <c r="H27" s="35">
        <f>IF((G27-E27-F27)=0,"—",B27/(G27-E27-F27))</f>
        <v/>
      </c>
    </row>
    <row r="28">
      <c r="A28" s="6" t="inlineStr">
        <is>
          <t>CoP 11.0 Data Security</t>
        </is>
      </c>
      <c r="B28" s="31">
        <f>COUNTIF('CoP 11.0 Data Security'!M:M,"P")</f>
        <v/>
      </c>
      <c r="C28" s="32">
        <f>COUNTIF('CoP 11.0 Data Security'!M:M,"SP")</f>
        <v/>
      </c>
      <c r="D28" s="33">
        <f>COUNTIF('CoP 11.0 Data Security'!M:M,"TP")</f>
        <v/>
      </c>
      <c r="E28" s="34">
        <f>COUNTIF('CoP 11.0 Data Security'!M:M,"TB")</f>
        <v/>
      </c>
      <c r="F28" s="10">
        <f>COUNTIFS('CoP 11.0 Data Security'!B:B,"&lt;&gt;",'CoP 11.0 Data Security'!C:C,"&lt;&gt;",'CoP 11.0 Data Security'!M:M,"=")-COUNTIF('CoP 11.0 Data Security'!B:B,"AWP Ref")</f>
        <v/>
      </c>
      <c r="G28" s="10">
        <f>COUNTIFS('CoP 11.0 Data Security'!B:B,"&lt;&gt;",'CoP 11.0 Data Security'!C:C,"&lt;&gt;")-COUNTIF('CoP 11.0 Data Security'!B:B,"AWP Ref")</f>
        <v/>
      </c>
      <c r="H28" s="35">
        <f>IF((G28-E28-F28)=0,"—",B28/(G28-E28-F28))</f>
        <v/>
      </c>
    </row>
    <row r="29">
      <c r="A29" s="6" t="inlineStr">
        <is>
          <t>CoP 12.0 Contractual Management</t>
        </is>
      </c>
      <c r="B29" s="31">
        <f>COUNTIF('CoP 12.0 Contractual Management'!M:M,"P")</f>
        <v/>
      </c>
      <c r="C29" s="32">
        <f>COUNTIF('CoP 12.0 Contractual Management'!M:M,"SP")</f>
        <v/>
      </c>
      <c r="D29" s="33">
        <f>COUNTIF('CoP 12.0 Contractual Management'!M:M,"TP")</f>
        <v/>
      </c>
      <c r="E29" s="34">
        <f>COUNTIF('CoP 12.0 Contractual Management'!M:M,"TB")</f>
        <v/>
      </c>
      <c r="F29" s="10">
        <f>COUNTIFS('CoP 12.0 Contractual Management'!B:B,"&lt;&gt;",'CoP 12.0 Contractual Management'!C:C,"&lt;&gt;",'CoP 12.0 Contractual Management'!M:M,"=")-COUNTIF('CoP 12.0 Contractual Management'!B:B,"AWP Ref")</f>
        <v/>
      </c>
      <c r="G29" s="10">
        <f>COUNTIFS('CoP 12.0 Contractual Management'!B:B,"&lt;&gt;",'CoP 12.0 Contractual Management'!C:C,"&lt;&gt;")-COUNTIF('CoP 12.0 Contractual Management'!B:B,"AWP Ref")</f>
        <v/>
      </c>
      <c r="H29" s="35">
        <f>IF((G29-E29-F29)=0,"—",B29/(G29-E29-F29))</f>
        <v/>
      </c>
    </row>
    <row r="30">
      <c r="A30" s="6" t="inlineStr">
        <is>
          <t>CoP 13.0 Physical Security</t>
        </is>
      </c>
      <c r="B30" s="31">
        <f>COUNTIF('CoP 13.0 Physical Security'!M:M,"P")</f>
        <v/>
      </c>
      <c r="C30" s="32">
        <f>COUNTIF('CoP 13.0 Physical Security'!M:M,"SP")</f>
        <v/>
      </c>
      <c r="D30" s="33">
        <f>COUNTIF('CoP 13.0 Physical Security'!M:M,"TP")</f>
        <v/>
      </c>
      <c r="E30" s="34">
        <f>COUNTIF('CoP 13.0 Physical Security'!M:M,"TB")</f>
        <v/>
      </c>
      <c r="F30" s="10">
        <f>COUNTIFS('CoP 13.0 Physical Security'!B:B,"&lt;&gt;",'CoP 13.0 Physical Security'!C:C,"&lt;&gt;",'CoP 13.0 Physical Security'!M:M,"=")-COUNTIF('CoP 13.0 Physical Security'!B:B,"AWP Ref")</f>
        <v/>
      </c>
      <c r="G30" s="10">
        <f>COUNTIFS('CoP 13.0 Physical Security'!B:B,"&lt;&gt;",'CoP 13.0 Physical Security'!C:C,"&lt;&gt;")-COUNTIF('CoP 13.0 Physical Security'!B:B,"AWP Ref")</f>
        <v/>
      </c>
      <c r="H30" s="35">
        <f>IF((G30-E30-F30)=0,"—",B30/(G30-E30-F30))</f>
        <v/>
      </c>
    </row>
    <row r="31">
      <c r="A31" s="6" t="inlineStr">
        <is>
          <t>CoP 14.0 System and Network Sec</t>
        </is>
      </c>
      <c r="B31" s="31">
        <f>COUNTIF('CoP 14.0 System and Network Sec'!M:M,"P")</f>
        <v/>
      </c>
      <c r="C31" s="32">
        <f>COUNTIF('CoP 14.0 System and Network Sec'!M:M,"SP")</f>
        <v/>
      </c>
      <c r="D31" s="33">
        <f>COUNTIF('CoP 14.0 System and Network Sec'!M:M,"TP")</f>
        <v/>
      </c>
      <c r="E31" s="34">
        <f>COUNTIF('CoP 14.0 System and Network Sec'!M:M,"TB")</f>
        <v/>
      </c>
      <c r="F31" s="10">
        <f>COUNTIFS('CoP 14.0 System and Network Sec'!B:B,"&lt;&gt;",'CoP 14.0 System and Network Sec'!C:C,"&lt;&gt;",'CoP 14.0 System and Network Sec'!M:M,"=")-COUNTIF('CoP 14.0 System and Network Sec'!B:B,"AWP Ref")</f>
        <v/>
      </c>
      <c r="G31" s="10">
        <f>COUNTIFS('CoP 14.0 System and Network Sec'!B:B,"&lt;&gt;",'CoP 14.0 System and Network Sec'!C:C,"&lt;&gt;")-COUNTIF('CoP 14.0 System and Network Sec'!B:B,"AWP Ref")</f>
        <v/>
      </c>
      <c r="H31" s="35">
        <f>IF((G31-E31-F31)=0,"—",B31/(G31-E31-F31))</f>
        <v/>
      </c>
    </row>
    <row r="32">
      <c r="A32" s="6" t="inlineStr">
        <is>
          <t>CoP 15.0 Access Control</t>
        </is>
      </c>
      <c r="B32" s="31">
        <f>COUNTIF('CoP 15.0 Access Control'!M:M,"P")</f>
        <v/>
      </c>
      <c r="C32" s="32">
        <f>COUNTIF('CoP 15.0 Access Control'!M:M,"SP")</f>
        <v/>
      </c>
      <c r="D32" s="33">
        <f>COUNTIF('CoP 15.0 Access Control'!M:M,"TP")</f>
        <v/>
      </c>
      <c r="E32" s="34">
        <f>COUNTIF('CoP 15.0 Access Control'!M:M,"TB")</f>
        <v/>
      </c>
      <c r="F32" s="10">
        <f>COUNTIFS('CoP 15.0 Access Control'!B:B,"&lt;&gt;",'CoP 15.0 Access Control'!C:C,"&lt;&gt;",'CoP 15.0 Access Control'!M:M,"=")-COUNTIF('CoP 15.0 Access Control'!B:B,"AWP Ref")</f>
        <v/>
      </c>
      <c r="G32" s="10">
        <f>COUNTIFS('CoP 15.0 Access Control'!B:B,"&lt;&gt;",'CoP 15.0 Access Control'!C:C,"&lt;&gt;")-COUNTIF('CoP 15.0 Access Control'!B:B,"AWP Ref")</f>
        <v/>
      </c>
      <c r="H32" s="35">
        <f>IF((G32-E32-F32)=0,"—",B32/(G32-E32-F32))</f>
        <v/>
      </c>
    </row>
    <row r="33">
      <c r="A33" s="6" t="inlineStr">
        <is>
          <t>CoP 16.0 Technical Vulnerabilit</t>
        </is>
      </c>
      <c r="B33" s="31">
        <f>COUNTIF('CoP 16.0 Technical Vulnerabilit'!M:M,"P")</f>
        <v/>
      </c>
      <c r="C33" s="32">
        <f>COUNTIF('CoP 16.0 Technical Vulnerabilit'!M:M,"SP")</f>
        <v/>
      </c>
      <c r="D33" s="33">
        <f>COUNTIF('CoP 16.0 Technical Vulnerabilit'!M:M,"TP")</f>
        <v/>
      </c>
      <c r="E33" s="34">
        <f>COUNTIF('CoP 16.0 Technical Vulnerabilit'!M:M,"TB")</f>
        <v/>
      </c>
      <c r="F33" s="10">
        <f>COUNTIFS('CoP 16.0 Technical Vulnerabilit'!B:B,"&lt;&gt;",'CoP 16.0 Technical Vulnerabilit'!C:C,"&lt;&gt;",'CoP 16.0 Technical Vulnerabilit'!M:M,"=")-COUNTIF('CoP 16.0 Technical Vulnerabilit'!B:B,"AWP Ref")</f>
        <v/>
      </c>
      <c r="G33" s="10">
        <f>COUNTIFS('CoP 16.0 Technical Vulnerabilit'!B:B,"&lt;&gt;",'CoP 16.0 Technical Vulnerabilit'!C:C,"&lt;&gt;")-COUNTIF('CoP 16.0 Technical Vulnerabilit'!B:B,"AWP Ref")</f>
        <v/>
      </c>
      <c r="H33" s="35">
        <f>IF((G33-E33-F33)=0,"—",B33/(G33-E33-F33))</f>
        <v/>
      </c>
    </row>
    <row r="34">
      <c r="A34" s="6" t="inlineStr">
        <is>
          <t>CoP 17.0 Cyber Security Event M</t>
        </is>
      </c>
      <c r="B34" s="31">
        <f>COUNTIF('CoP 17.0 Cyber Security Event M'!M:M,"P")</f>
        <v/>
      </c>
      <c r="C34" s="32">
        <f>COUNTIF('CoP 17.0 Cyber Security Event M'!M:M,"SP")</f>
        <v/>
      </c>
      <c r="D34" s="33">
        <f>COUNTIF('CoP 17.0 Cyber Security Event M'!M:M,"TP")</f>
        <v/>
      </c>
      <c r="E34" s="34">
        <f>COUNTIF('CoP 17.0 Cyber Security Event M'!M:M,"TB")</f>
        <v/>
      </c>
      <c r="F34" s="10">
        <f>COUNTIFS('CoP 17.0 Cyber Security Event M'!B:B,"&lt;&gt;",'CoP 17.0 Cyber Security Event M'!C:C,"&lt;&gt;",'CoP 17.0 Cyber Security Event M'!M:M,"=")-COUNTIF('CoP 17.0 Cyber Security Event M'!B:B,"AWP Ref")</f>
        <v/>
      </c>
      <c r="G34" s="10">
        <f>COUNTIFS('CoP 17.0 Cyber Security Event M'!B:B,"&lt;&gt;",'CoP 17.0 Cyber Security Event M'!C:C,"&lt;&gt;")-COUNTIF('CoP 17.0 Cyber Security Event M'!B:B,"AWP Ref")</f>
        <v/>
      </c>
      <c r="H34" s="35">
        <f>IF((G34-E34-F34)=0,"—",B34/(G34-E34-F34))</f>
        <v/>
      </c>
    </row>
    <row r="35">
      <c r="A35" s="6" t="inlineStr">
        <is>
          <t>CoP 18.0 Cyber Security Inciden</t>
        </is>
      </c>
      <c r="B35" s="31">
        <f>COUNTIF('CoP 18.0 Cyber Security Inciden'!M:M,"P")</f>
        <v/>
      </c>
      <c r="C35" s="32">
        <f>COUNTIF('CoP 18.0 Cyber Security Inciden'!M:M,"SP")</f>
        <v/>
      </c>
      <c r="D35" s="33">
        <f>COUNTIF('CoP 18.0 Cyber Security Inciden'!M:M,"TP")</f>
        <v/>
      </c>
      <c r="E35" s="34">
        <f>COUNTIF('CoP 18.0 Cyber Security Inciden'!M:M,"TB")</f>
        <v/>
      </c>
      <c r="F35" s="10">
        <f>COUNTIFS('CoP 18.0 Cyber Security Inciden'!B:B,"&lt;&gt;",'CoP 18.0 Cyber Security Inciden'!C:C,"&lt;&gt;",'CoP 18.0 Cyber Security Inciden'!M:M,"=")-COUNTIF('CoP 18.0 Cyber Security Inciden'!B:B,"AWP Ref")</f>
        <v/>
      </c>
      <c r="G35" s="10">
        <f>COUNTIFS('CoP 18.0 Cyber Security Inciden'!B:B,"&lt;&gt;",'CoP 18.0 Cyber Security Inciden'!C:C,"&lt;&gt;")-COUNTIF('CoP 18.0 Cyber Security Inciden'!B:B,"AWP Ref")</f>
        <v/>
      </c>
      <c r="H35" s="35">
        <f>IF((G35-E35-F35)=0,"—",B35/(G35-E35-F35))</f>
        <v/>
      </c>
    </row>
    <row r="36">
      <c r="A36" s="6" t="inlineStr">
        <is>
          <t>CoP 19.0 Business Continuity Ma</t>
        </is>
      </c>
      <c r="B36" s="31">
        <f>COUNTIF('CoP 19.0 Business Continuity Ma'!M:M,"P")</f>
        <v/>
      </c>
      <c r="C36" s="32">
        <f>COUNTIF('CoP 19.0 Business Continuity Ma'!M:M,"SP")</f>
        <v/>
      </c>
      <c r="D36" s="33">
        <f>COUNTIF('CoP 19.0 Business Continuity Ma'!M:M,"TP")</f>
        <v/>
      </c>
      <c r="E36" s="34">
        <f>COUNTIF('CoP 19.0 Business Continuity Ma'!M:M,"TB")</f>
        <v/>
      </c>
      <c r="F36" s="10">
        <f>COUNTIFS('CoP 19.0 Business Continuity Ma'!B:B,"&lt;&gt;",'CoP 19.0 Business Continuity Ma'!C:C,"&lt;&gt;",'CoP 19.0 Business Continuity Ma'!M:M,"=")-COUNTIF('CoP 19.0 Business Continuity Ma'!B:B,"AWP Ref")</f>
        <v/>
      </c>
      <c r="G36" s="10">
        <f>COUNTIFS('CoP 19.0 Business Continuity Ma'!B:B,"&lt;&gt;",'CoP 19.0 Business Continuity Ma'!C:C,"&lt;&gt;")-COUNTIF('CoP 19.0 Business Continuity Ma'!B:B,"AWP Ref")</f>
        <v/>
      </c>
      <c r="H36" s="35">
        <f>IF((G36-E36-F36)=0,"—",B36/(G36-E36-F36))</f>
        <v/>
      </c>
    </row>
    <row r="37">
      <c r="A37" s="6" t="inlineStr">
        <is>
          <t>CoP 20.0 Sector-Specific Requir</t>
        </is>
      </c>
      <c r="B37" s="31">
        <f>COUNTIF('CoP 20.0 Sector-Specific Requir'!M:M,"P")</f>
        <v/>
      </c>
      <c r="C37" s="32">
        <f>COUNTIF('CoP 20.0 Sector-Specific Requir'!M:M,"SP")</f>
        <v/>
      </c>
      <c r="D37" s="33">
        <f>COUNTIF('CoP 20.0 Sector-Specific Requir'!M:M,"TP")</f>
        <v/>
      </c>
      <c r="E37" s="34">
        <f>COUNTIF('CoP 20.0 Sector-Specific Requir'!M:M,"TB")</f>
        <v/>
      </c>
      <c r="F37" s="10">
        <f>COUNTIFS('CoP 20.0 Sector-Specific Requir'!B:B,"&lt;&gt;",'CoP 20.0 Sector-Specific Requir'!C:C,"&lt;&gt;",'CoP 20.0 Sector-Specific Requir'!M:M,"=")-COUNTIF('CoP 20.0 Sector-Specific Requir'!B:B,"AWP Ref")</f>
        <v/>
      </c>
      <c r="G37" s="10">
        <f>COUNTIFS('CoP 20.0 Sector-Specific Requir'!B:B,"&lt;&gt;",'CoP 20.0 Sector-Specific Requir'!C:C,"&lt;&gt;")-COUNTIF('CoP 20.0 Sector-Specific Requir'!B:B,"AWP Ref")</f>
        <v/>
      </c>
      <c r="H37" s="35">
        <f>IF((G37-E37-F37)=0,"—",B37/(G37-E37-F37))</f>
        <v/>
      </c>
    </row>
    <row r="40">
      <c r="A40" s="2" t="inlineStr">
        <is>
          <t>LEVEL BREAKDOWN</t>
        </is>
      </c>
    </row>
    <row r="41">
      <c r="A41" s="20" t="inlineStr">
        <is>
          <t>Level</t>
        </is>
      </c>
      <c r="B41" s="20" t="inlineStr">
        <is>
          <t>P (Patuh)</t>
        </is>
      </c>
      <c r="C41" s="20" t="inlineStr">
        <is>
          <t>SP (Separa Patuh)</t>
        </is>
      </c>
      <c r="D41" s="20" t="inlineStr">
        <is>
          <t>TP (Tidak Patuh)</t>
        </is>
      </c>
      <c r="E41" s="20" t="inlineStr">
        <is>
          <t>TB</t>
        </is>
      </c>
      <c r="F41" s="20" t="inlineStr">
        <is>
          <t>Not Assessed</t>
        </is>
      </c>
      <c r="G41" s="20" t="inlineStr">
        <is>
          <t>Total</t>
        </is>
      </c>
      <c r="H41" s="20" t="inlineStr"/>
    </row>
    <row r="42">
      <c r="A42" s="6" t="inlineStr">
        <is>
          <t>ORG</t>
        </is>
      </c>
      <c r="B42" s="31">
        <f>COUNTIFS('CoP 4.0 Governance and Leadersh'!C:C,"ORG",'CoP 4.0 Governance and Leadersh'!M:M,"P")+COUNTIFS('CoP 5.0 Cyber Security Policy a'!C:C,"ORG",'CoP 5.0 Cyber Security Policy a'!M:M,"P")+COUNTIFS('CoP 6.0 Organisational Developm'!C:C,"ORG",'CoP 6.0 Organisational Developm'!M:M,"P")+COUNTIFS('CoP 7.0 Cyber Security Assuranc'!C:C,"ORG",'CoP 7.0 Cyber Security Assuranc'!M:M,"P")+COUNTIFS('CoP 8.0 Resource Allocation and'!C:C,"ORG",'CoP 8.0 Resource Allocation and'!M:M,"P")+COUNTIFS('CoP 9.0 Risk Management'!C:C,"ORG",'CoP 9.0 Risk Management'!M:M,"P")+COUNTIFS('CoP 10.0 Operational Efficiency'!C:C,"ORG",'CoP 10.0 Operational Efficiency'!M:M,"P")+COUNTIFS('CoP 11.0 Data Security'!C:C,"ORG",'CoP 11.0 Data Security'!M:M,"P")+COUNTIFS('CoP 12.0 Contractual Management'!C:C,"ORG",'CoP 12.0 Contractual Management'!M:M,"P")+COUNTIFS('CoP 13.0 Physical Security'!C:C,"ORG",'CoP 13.0 Physical Security'!M:M,"P")+COUNTIFS('CoP 14.0 System and Network Sec'!C:C,"ORG",'CoP 14.0 System and Network Sec'!M:M,"P")+COUNTIFS('CoP 15.0 Access Control'!C:C,"ORG",'CoP 15.0 Access Control'!M:M,"P")+COUNTIFS('CoP 16.0 Technical Vulnerabilit'!C:C,"ORG",'CoP 16.0 Technical Vulnerabilit'!M:M,"P")+COUNTIFS('CoP 17.0 Cyber Security Event M'!C:C,"ORG",'CoP 17.0 Cyber Security Event M'!M:M,"P")+COUNTIFS('CoP 18.0 Cyber Security Inciden'!C:C,"ORG",'CoP 18.0 Cyber Security Inciden'!M:M,"P")+COUNTIFS('CoP 19.0 Business Continuity Ma'!C:C,"ORG",'CoP 19.0 Business Continuity Ma'!M:M,"P")+COUNTIFS('CoP 20.0 Sector-Specific Requir'!C:C,"ORG",'CoP 20.0 Sector-Specific Requir'!M:M,"P")</f>
        <v/>
      </c>
      <c r="C42" s="32">
        <f>COUNTIFS('CoP 4.0 Governance and Leadersh'!C:C,"ORG",'CoP 4.0 Governance and Leadersh'!M:M,"SP")+COUNTIFS('CoP 5.0 Cyber Security Policy a'!C:C,"ORG",'CoP 5.0 Cyber Security Policy a'!M:M,"SP")+COUNTIFS('CoP 6.0 Organisational Developm'!C:C,"ORG",'CoP 6.0 Organisational Developm'!M:M,"SP")+COUNTIFS('CoP 7.0 Cyber Security Assuranc'!C:C,"ORG",'CoP 7.0 Cyber Security Assuranc'!M:M,"SP")+COUNTIFS('CoP 8.0 Resource Allocation and'!C:C,"ORG",'CoP 8.0 Resource Allocation and'!M:M,"SP")+COUNTIFS('CoP 9.0 Risk Management'!C:C,"ORG",'CoP 9.0 Risk Management'!M:M,"SP")+COUNTIFS('CoP 10.0 Operational Efficiency'!C:C,"ORG",'CoP 10.0 Operational Efficiency'!M:M,"SP")+COUNTIFS('CoP 11.0 Data Security'!C:C,"ORG",'CoP 11.0 Data Security'!M:M,"SP")+COUNTIFS('CoP 12.0 Contractual Management'!C:C,"ORG",'CoP 12.0 Contractual Management'!M:M,"SP")+COUNTIFS('CoP 13.0 Physical Security'!C:C,"ORG",'CoP 13.0 Physical Security'!M:M,"SP")+COUNTIFS('CoP 14.0 System and Network Sec'!C:C,"ORG",'CoP 14.0 System and Network Sec'!M:M,"SP")+COUNTIFS('CoP 15.0 Access Control'!C:C,"ORG",'CoP 15.0 Access Control'!M:M,"SP")+COUNTIFS('CoP 16.0 Technical Vulnerabilit'!C:C,"ORG",'CoP 16.0 Technical Vulnerabilit'!M:M,"SP")+COUNTIFS('CoP 17.0 Cyber Security Event M'!C:C,"ORG",'CoP 17.0 Cyber Security Event M'!M:M,"SP")+COUNTIFS('CoP 18.0 Cyber Security Inciden'!C:C,"ORG",'CoP 18.0 Cyber Security Inciden'!M:M,"SP")+COUNTIFS('CoP 19.0 Business Continuity Ma'!C:C,"ORG",'CoP 19.0 Business Continuity Ma'!M:M,"SP")+COUNTIFS('CoP 20.0 Sector-Specific Requir'!C:C,"ORG",'CoP 20.0 Sector-Specific Requir'!M:M,"SP")</f>
        <v/>
      </c>
      <c r="D42" s="33">
        <f>COUNTIFS('CoP 4.0 Governance and Leadersh'!C:C,"ORG",'CoP 4.0 Governance and Leadersh'!M:M,"TP")+COUNTIFS('CoP 5.0 Cyber Security Policy a'!C:C,"ORG",'CoP 5.0 Cyber Security Policy a'!M:M,"TP")+COUNTIFS('CoP 6.0 Organisational Developm'!C:C,"ORG",'CoP 6.0 Organisational Developm'!M:M,"TP")+COUNTIFS('CoP 7.0 Cyber Security Assuranc'!C:C,"ORG",'CoP 7.0 Cyber Security Assuranc'!M:M,"TP")+COUNTIFS('CoP 8.0 Resource Allocation and'!C:C,"ORG",'CoP 8.0 Resource Allocation and'!M:M,"TP")+COUNTIFS('CoP 9.0 Risk Management'!C:C,"ORG",'CoP 9.0 Risk Management'!M:M,"TP")+COUNTIFS('CoP 10.0 Operational Efficiency'!C:C,"ORG",'CoP 10.0 Operational Efficiency'!M:M,"TP")+COUNTIFS('CoP 11.0 Data Security'!C:C,"ORG",'CoP 11.0 Data Security'!M:M,"TP")+COUNTIFS('CoP 12.0 Contractual Management'!C:C,"ORG",'CoP 12.0 Contractual Management'!M:M,"TP")+COUNTIFS('CoP 13.0 Physical Security'!C:C,"ORG",'CoP 13.0 Physical Security'!M:M,"TP")+COUNTIFS('CoP 14.0 System and Network Sec'!C:C,"ORG",'CoP 14.0 System and Network Sec'!M:M,"TP")+COUNTIFS('CoP 15.0 Access Control'!C:C,"ORG",'CoP 15.0 Access Control'!M:M,"TP")+COUNTIFS('CoP 16.0 Technical Vulnerabilit'!C:C,"ORG",'CoP 16.0 Technical Vulnerabilit'!M:M,"TP")+COUNTIFS('CoP 17.0 Cyber Security Event M'!C:C,"ORG",'CoP 17.0 Cyber Security Event M'!M:M,"TP")+COUNTIFS('CoP 18.0 Cyber Security Inciden'!C:C,"ORG",'CoP 18.0 Cyber Security Inciden'!M:M,"TP")+COUNTIFS('CoP 19.0 Business Continuity Ma'!C:C,"ORG",'CoP 19.0 Business Continuity Ma'!M:M,"TP")+COUNTIFS('CoP 20.0 Sector-Specific Requir'!C:C,"ORG",'CoP 20.0 Sector-Specific Requir'!M:M,"TP")</f>
        <v/>
      </c>
      <c r="E42" s="34">
        <f>COUNTIFS('CoP 4.0 Governance and Leadersh'!C:C,"ORG",'CoP 4.0 Governance and Leadersh'!M:M,"TB")+COUNTIFS('CoP 5.0 Cyber Security Policy a'!C:C,"ORG",'CoP 5.0 Cyber Security Policy a'!M:M,"TB")+COUNTIFS('CoP 6.0 Organisational Developm'!C:C,"ORG",'CoP 6.0 Organisational Developm'!M:M,"TB")+COUNTIFS('CoP 7.0 Cyber Security Assuranc'!C:C,"ORG",'CoP 7.0 Cyber Security Assuranc'!M:M,"TB")+COUNTIFS('CoP 8.0 Resource Allocation and'!C:C,"ORG",'CoP 8.0 Resource Allocation and'!M:M,"TB")+COUNTIFS('CoP 9.0 Risk Management'!C:C,"ORG",'CoP 9.0 Risk Management'!M:M,"TB")+COUNTIFS('CoP 10.0 Operational Efficiency'!C:C,"ORG",'CoP 10.0 Operational Efficiency'!M:M,"TB")+COUNTIFS('CoP 11.0 Data Security'!C:C,"ORG",'CoP 11.0 Data Security'!M:M,"TB")+COUNTIFS('CoP 12.0 Contractual Management'!C:C,"ORG",'CoP 12.0 Contractual Management'!M:M,"TB")+COUNTIFS('CoP 13.0 Physical Security'!C:C,"ORG",'CoP 13.0 Physical Security'!M:M,"TB")+COUNTIFS('CoP 14.0 System and Network Sec'!C:C,"ORG",'CoP 14.0 System and Network Sec'!M:M,"TB")+COUNTIFS('CoP 15.0 Access Control'!C:C,"ORG",'CoP 15.0 Access Control'!M:M,"TB")+COUNTIFS('CoP 16.0 Technical Vulnerabilit'!C:C,"ORG",'CoP 16.0 Technical Vulnerabilit'!M:M,"TB")+COUNTIFS('CoP 17.0 Cyber Security Event M'!C:C,"ORG",'CoP 17.0 Cyber Security Event M'!M:M,"TB")+COUNTIFS('CoP 18.0 Cyber Security Inciden'!C:C,"ORG",'CoP 18.0 Cyber Security Inciden'!M:M,"TB")+COUNTIFS('CoP 19.0 Business Continuity Ma'!C:C,"ORG",'CoP 19.0 Business Continuity Ma'!M:M,"TB")+COUNTIFS('CoP 20.0 Sector-Specific Requir'!C:C,"ORG",'CoP 20.0 Sector-Specific Requir'!M:M,"TB")</f>
        <v/>
      </c>
      <c r="F42" s="10">
        <f>COUNTIFS('CoP 4.0 Governance and Leadersh'!C:C,"ORG",'CoP 4.0 Governance and Leadersh'!M:M,"=")+COUNTIFS('CoP 5.0 Cyber Security Policy a'!C:C,"ORG",'CoP 5.0 Cyber Security Policy a'!M:M,"=")+COUNTIFS('CoP 6.0 Organisational Developm'!C:C,"ORG",'CoP 6.0 Organisational Developm'!M:M,"=")+COUNTIFS('CoP 7.0 Cyber Security Assuranc'!C:C,"ORG",'CoP 7.0 Cyber Security Assuranc'!M:M,"=")+COUNTIFS('CoP 8.0 Resource Allocation and'!C:C,"ORG",'CoP 8.0 Resource Allocation and'!M:M,"=")+COUNTIFS('CoP 9.0 Risk Management'!C:C,"ORG",'CoP 9.0 Risk Management'!M:M,"=")+COUNTIFS('CoP 10.0 Operational Efficiency'!C:C,"ORG",'CoP 10.0 Operational Efficiency'!M:M,"=")+COUNTIFS('CoP 11.0 Data Security'!C:C,"ORG",'CoP 11.0 Data Security'!M:M,"=")+COUNTIFS('CoP 12.0 Contractual Management'!C:C,"ORG",'CoP 12.0 Contractual Management'!M:M,"=")+COUNTIFS('CoP 13.0 Physical Security'!C:C,"ORG",'CoP 13.0 Physical Security'!M:M,"=")+COUNTIFS('CoP 14.0 System and Network Sec'!C:C,"ORG",'CoP 14.0 System and Network Sec'!M:M,"=")+COUNTIFS('CoP 15.0 Access Control'!C:C,"ORG",'CoP 15.0 Access Control'!M:M,"=")+COUNTIFS('CoP 16.0 Technical Vulnerabilit'!C:C,"ORG",'CoP 16.0 Technical Vulnerabilit'!M:M,"=")+COUNTIFS('CoP 17.0 Cyber Security Event M'!C:C,"ORG",'CoP 17.0 Cyber Security Event M'!M:M,"=")+COUNTIFS('CoP 18.0 Cyber Security Inciden'!C:C,"ORG",'CoP 18.0 Cyber Security Inciden'!M:M,"=")+COUNTIFS('CoP 19.0 Business Continuity Ma'!C:C,"ORG",'CoP 19.0 Business Continuity Ma'!M:M,"=")+COUNTIFS('CoP 20.0 Sector-Specific Requir'!C:C,"ORG",'CoP 20.0 Sector-Specific Requir'!M:M,"=")</f>
        <v/>
      </c>
      <c r="G42" s="10">
        <f>SUM(B42:F42)</f>
        <v/>
      </c>
    </row>
    <row r="43">
      <c r="A43" s="6" t="inlineStr">
        <is>
          <t>SYSTEM</t>
        </is>
      </c>
      <c r="B43" s="31">
        <f>COUNTIFS('CoP 4.0 Governance and Leadersh'!C:C,"SYSTEM",'CoP 4.0 Governance and Leadersh'!M:M,"P")+COUNTIFS('CoP 5.0 Cyber Security Policy a'!C:C,"SYSTEM",'CoP 5.0 Cyber Security Policy a'!M:M,"P")+COUNTIFS('CoP 6.0 Organisational Developm'!C:C,"SYSTEM",'CoP 6.0 Organisational Developm'!M:M,"P")+COUNTIFS('CoP 7.0 Cyber Security Assuranc'!C:C,"SYSTEM",'CoP 7.0 Cyber Security Assuranc'!M:M,"P")+COUNTIFS('CoP 8.0 Resource Allocation and'!C:C,"SYSTEM",'CoP 8.0 Resource Allocation and'!M:M,"P")+COUNTIFS('CoP 9.0 Risk Management'!C:C,"SYSTEM",'CoP 9.0 Risk Management'!M:M,"P")+COUNTIFS('CoP 10.0 Operational Efficiency'!C:C,"SYSTEM",'CoP 10.0 Operational Efficiency'!M:M,"P")+COUNTIFS('CoP 11.0 Data Security'!C:C,"SYSTEM",'CoP 11.0 Data Security'!M:M,"P")+COUNTIFS('CoP 12.0 Contractual Management'!C:C,"SYSTEM",'CoP 12.0 Contractual Management'!M:M,"P")+COUNTIFS('CoP 13.0 Physical Security'!C:C,"SYSTEM",'CoP 13.0 Physical Security'!M:M,"P")+COUNTIFS('CoP 14.0 System and Network Sec'!C:C,"SYSTEM",'CoP 14.0 System and Network Sec'!M:M,"P")+COUNTIFS('CoP 15.0 Access Control'!C:C,"SYSTEM",'CoP 15.0 Access Control'!M:M,"P")+COUNTIFS('CoP 16.0 Technical Vulnerabilit'!C:C,"SYSTEM",'CoP 16.0 Technical Vulnerabilit'!M:M,"P")+COUNTIFS('CoP 17.0 Cyber Security Event M'!C:C,"SYSTEM",'CoP 17.0 Cyber Security Event M'!M:M,"P")+COUNTIFS('CoP 18.0 Cyber Security Inciden'!C:C,"SYSTEM",'CoP 18.0 Cyber Security Inciden'!M:M,"P")+COUNTIFS('CoP 19.0 Business Continuity Ma'!C:C,"SYSTEM",'CoP 19.0 Business Continuity Ma'!M:M,"P")+COUNTIFS('CoP 20.0 Sector-Specific Requir'!C:C,"SYSTEM",'CoP 20.0 Sector-Specific Requir'!M:M,"P")</f>
        <v/>
      </c>
      <c r="C43" s="32">
        <f>COUNTIFS('CoP 4.0 Governance and Leadersh'!C:C,"SYSTEM",'CoP 4.0 Governance and Leadersh'!M:M,"SP")+COUNTIFS('CoP 5.0 Cyber Security Policy a'!C:C,"SYSTEM",'CoP 5.0 Cyber Security Policy a'!M:M,"SP")+COUNTIFS('CoP 6.0 Organisational Developm'!C:C,"SYSTEM",'CoP 6.0 Organisational Developm'!M:M,"SP")+COUNTIFS('CoP 7.0 Cyber Security Assuranc'!C:C,"SYSTEM",'CoP 7.0 Cyber Security Assuranc'!M:M,"SP")+COUNTIFS('CoP 8.0 Resource Allocation and'!C:C,"SYSTEM",'CoP 8.0 Resource Allocation and'!M:M,"SP")+COUNTIFS('CoP 9.0 Risk Management'!C:C,"SYSTEM",'CoP 9.0 Risk Management'!M:M,"SP")+COUNTIFS('CoP 10.0 Operational Efficiency'!C:C,"SYSTEM",'CoP 10.0 Operational Efficiency'!M:M,"SP")+COUNTIFS('CoP 11.0 Data Security'!C:C,"SYSTEM",'CoP 11.0 Data Security'!M:M,"SP")+COUNTIFS('CoP 12.0 Contractual Management'!C:C,"SYSTEM",'CoP 12.0 Contractual Management'!M:M,"SP")+COUNTIFS('CoP 13.0 Physical Security'!C:C,"SYSTEM",'CoP 13.0 Physical Security'!M:M,"SP")+COUNTIFS('CoP 14.0 System and Network Sec'!C:C,"SYSTEM",'CoP 14.0 System and Network Sec'!M:M,"SP")+COUNTIFS('CoP 15.0 Access Control'!C:C,"SYSTEM",'CoP 15.0 Access Control'!M:M,"SP")+COUNTIFS('CoP 16.0 Technical Vulnerabilit'!C:C,"SYSTEM",'CoP 16.0 Technical Vulnerabilit'!M:M,"SP")+COUNTIFS('CoP 17.0 Cyber Security Event M'!C:C,"SYSTEM",'CoP 17.0 Cyber Security Event M'!M:M,"SP")+COUNTIFS('CoP 18.0 Cyber Security Inciden'!C:C,"SYSTEM",'CoP 18.0 Cyber Security Inciden'!M:M,"SP")+COUNTIFS('CoP 19.0 Business Continuity Ma'!C:C,"SYSTEM",'CoP 19.0 Business Continuity Ma'!M:M,"SP")+COUNTIFS('CoP 20.0 Sector-Specific Requir'!C:C,"SYSTEM",'CoP 20.0 Sector-Specific Requir'!M:M,"SP")</f>
        <v/>
      </c>
      <c r="D43" s="33">
        <f>COUNTIFS('CoP 4.0 Governance and Leadersh'!C:C,"SYSTEM",'CoP 4.0 Governance and Leadersh'!M:M,"TP")+COUNTIFS('CoP 5.0 Cyber Security Policy a'!C:C,"SYSTEM",'CoP 5.0 Cyber Security Policy a'!M:M,"TP")+COUNTIFS('CoP 6.0 Organisational Developm'!C:C,"SYSTEM",'CoP 6.0 Organisational Developm'!M:M,"TP")+COUNTIFS('CoP 7.0 Cyber Security Assuranc'!C:C,"SYSTEM",'CoP 7.0 Cyber Security Assuranc'!M:M,"TP")+COUNTIFS('CoP 8.0 Resource Allocation and'!C:C,"SYSTEM",'CoP 8.0 Resource Allocation and'!M:M,"TP")+COUNTIFS('CoP 9.0 Risk Management'!C:C,"SYSTEM",'CoP 9.0 Risk Management'!M:M,"TP")+COUNTIFS('CoP 10.0 Operational Efficiency'!C:C,"SYSTEM",'CoP 10.0 Operational Efficiency'!M:M,"TP")+COUNTIFS('CoP 11.0 Data Security'!C:C,"SYSTEM",'CoP 11.0 Data Security'!M:M,"TP")+COUNTIFS('CoP 12.0 Contractual Management'!C:C,"SYSTEM",'CoP 12.0 Contractual Management'!M:M,"TP")+COUNTIFS('CoP 13.0 Physical Security'!C:C,"SYSTEM",'CoP 13.0 Physical Security'!M:M,"TP")+COUNTIFS('CoP 14.0 System and Network Sec'!C:C,"SYSTEM",'CoP 14.0 System and Network Sec'!M:M,"TP")+COUNTIFS('CoP 15.0 Access Control'!C:C,"SYSTEM",'CoP 15.0 Access Control'!M:M,"TP")+COUNTIFS('CoP 16.0 Technical Vulnerabilit'!C:C,"SYSTEM",'CoP 16.0 Technical Vulnerabilit'!M:M,"TP")+COUNTIFS('CoP 17.0 Cyber Security Event M'!C:C,"SYSTEM",'CoP 17.0 Cyber Security Event M'!M:M,"TP")+COUNTIFS('CoP 18.0 Cyber Security Inciden'!C:C,"SYSTEM",'CoP 18.0 Cyber Security Inciden'!M:M,"TP")+COUNTIFS('CoP 19.0 Business Continuity Ma'!C:C,"SYSTEM",'CoP 19.0 Business Continuity Ma'!M:M,"TP")+COUNTIFS('CoP 20.0 Sector-Specific Requir'!C:C,"SYSTEM",'CoP 20.0 Sector-Specific Requir'!M:M,"TP")</f>
        <v/>
      </c>
      <c r="E43" s="34">
        <f>COUNTIFS('CoP 4.0 Governance and Leadersh'!C:C,"SYSTEM",'CoP 4.0 Governance and Leadersh'!M:M,"TB")+COUNTIFS('CoP 5.0 Cyber Security Policy a'!C:C,"SYSTEM",'CoP 5.0 Cyber Security Policy a'!M:M,"TB")+COUNTIFS('CoP 6.0 Organisational Developm'!C:C,"SYSTEM",'CoP 6.0 Organisational Developm'!M:M,"TB")+COUNTIFS('CoP 7.0 Cyber Security Assuranc'!C:C,"SYSTEM",'CoP 7.0 Cyber Security Assuranc'!M:M,"TB")+COUNTIFS('CoP 8.0 Resource Allocation and'!C:C,"SYSTEM",'CoP 8.0 Resource Allocation and'!M:M,"TB")+COUNTIFS('CoP 9.0 Risk Management'!C:C,"SYSTEM",'CoP 9.0 Risk Management'!M:M,"TB")+COUNTIFS('CoP 10.0 Operational Efficiency'!C:C,"SYSTEM",'CoP 10.0 Operational Efficiency'!M:M,"TB")+COUNTIFS('CoP 11.0 Data Security'!C:C,"SYSTEM",'CoP 11.0 Data Security'!M:M,"TB")+COUNTIFS('CoP 12.0 Contractual Management'!C:C,"SYSTEM",'CoP 12.0 Contractual Management'!M:M,"TB")+COUNTIFS('CoP 13.0 Physical Security'!C:C,"SYSTEM",'CoP 13.0 Physical Security'!M:M,"TB")+COUNTIFS('CoP 14.0 System and Network Sec'!C:C,"SYSTEM",'CoP 14.0 System and Network Sec'!M:M,"TB")+COUNTIFS('CoP 15.0 Access Control'!C:C,"SYSTEM",'CoP 15.0 Access Control'!M:M,"TB")+COUNTIFS('CoP 16.0 Technical Vulnerabilit'!C:C,"SYSTEM",'CoP 16.0 Technical Vulnerabilit'!M:M,"TB")+COUNTIFS('CoP 17.0 Cyber Security Event M'!C:C,"SYSTEM",'CoP 17.0 Cyber Security Event M'!M:M,"TB")+COUNTIFS('CoP 18.0 Cyber Security Inciden'!C:C,"SYSTEM",'CoP 18.0 Cyber Security Inciden'!M:M,"TB")+COUNTIFS('CoP 19.0 Business Continuity Ma'!C:C,"SYSTEM",'CoP 19.0 Business Continuity Ma'!M:M,"TB")+COUNTIFS('CoP 20.0 Sector-Specific Requir'!C:C,"SYSTEM",'CoP 20.0 Sector-Specific Requir'!M:M,"TB")</f>
        <v/>
      </c>
      <c r="F43" s="10">
        <f>COUNTIFS('CoP 4.0 Governance and Leadersh'!C:C,"SYSTEM",'CoP 4.0 Governance and Leadersh'!M:M,"=")+COUNTIFS('CoP 5.0 Cyber Security Policy a'!C:C,"SYSTEM",'CoP 5.0 Cyber Security Policy a'!M:M,"=")+COUNTIFS('CoP 6.0 Organisational Developm'!C:C,"SYSTEM",'CoP 6.0 Organisational Developm'!M:M,"=")+COUNTIFS('CoP 7.0 Cyber Security Assuranc'!C:C,"SYSTEM",'CoP 7.0 Cyber Security Assuranc'!M:M,"=")+COUNTIFS('CoP 8.0 Resource Allocation and'!C:C,"SYSTEM",'CoP 8.0 Resource Allocation and'!M:M,"=")+COUNTIFS('CoP 9.0 Risk Management'!C:C,"SYSTEM",'CoP 9.0 Risk Management'!M:M,"=")+COUNTIFS('CoP 10.0 Operational Efficiency'!C:C,"SYSTEM",'CoP 10.0 Operational Efficiency'!M:M,"=")+COUNTIFS('CoP 11.0 Data Security'!C:C,"SYSTEM",'CoP 11.0 Data Security'!M:M,"=")+COUNTIFS('CoP 12.0 Contractual Management'!C:C,"SYSTEM",'CoP 12.0 Contractual Management'!M:M,"=")+COUNTIFS('CoP 13.0 Physical Security'!C:C,"SYSTEM",'CoP 13.0 Physical Security'!M:M,"=")+COUNTIFS('CoP 14.0 System and Network Sec'!C:C,"SYSTEM",'CoP 14.0 System and Network Sec'!M:M,"=")+COUNTIFS('CoP 15.0 Access Control'!C:C,"SYSTEM",'CoP 15.0 Access Control'!M:M,"=")+COUNTIFS('CoP 16.0 Technical Vulnerabilit'!C:C,"SYSTEM",'CoP 16.0 Technical Vulnerabilit'!M:M,"=")+COUNTIFS('CoP 17.0 Cyber Security Event M'!C:C,"SYSTEM",'CoP 17.0 Cyber Security Event M'!M:M,"=")+COUNTIFS('CoP 18.0 Cyber Security Inciden'!C:C,"SYSTEM",'CoP 18.0 Cyber Security Inciden'!M:M,"=")+COUNTIFS('CoP 19.0 Business Continuity Ma'!C:C,"SYSTEM",'CoP 19.0 Business Continuity Ma'!M:M,"=")+COUNTIFS('CoP 20.0 Sector-Specific Requir'!C:C,"SYSTEM",'CoP 20.0 Sector-Specific Requir'!M:M,"=")</f>
        <v/>
      </c>
      <c r="G43" s="10">
        <f>SUM(B43:F43)</f>
        <v/>
      </c>
    </row>
    <row r="46">
      <c r="A46" s="2" t="inlineStr">
        <is>
          <t>FINDING SUMMARY</t>
        </is>
      </c>
    </row>
    <row r="47">
      <c r="A47" s="6" t="inlineStr">
        <is>
          <t>Critical (Kritikal) findings</t>
        </is>
      </c>
      <c r="B47" s="10">
        <f>COUNTIF('Finding Register'!K:K,"K")</f>
        <v/>
      </c>
    </row>
    <row r="48">
      <c r="A48" s="6" t="inlineStr">
        <is>
          <t>High (Tinggi) findings</t>
        </is>
      </c>
      <c r="B48" s="10">
        <f>COUNTIF('Finding Register'!K:K,"T")</f>
        <v/>
      </c>
    </row>
    <row r="49">
      <c r="A49" s="6" t="inlineStr">
        <is>
          <t>Medium (Sederhana) findings</t>
        </is>
      </c>
      <c r="B49" s="10">
        <f>COUNTIF('Finding Register'!K:K,"S")</f>
        <v/>
      </c>
    </row>
    <row r="50">
      <c r="A50" s="6" t="inlineStr">
        <is>
          <t>Low (Rendah) findings</t>
        </is>
      </c>
      <c r="B50" s="10">
        <f>COUNTIF('Finding Register'!K:K,"R")</f>
        <v/>
      </c>
    </row>
    <row r="51">
      <c r="A51" s="6" t="inlineStr">
        <is>
          <t>Total findings</t>
        </is>
      </c>
      <c r="B51" s="6">
        <f>SUM(B47:B50)</f>
        <v/>
      </c>
    </row>
    <row r="53">
      <c r="A53" s="2" t="inlineStr">
        <is>
          <t>SUPPLEMENTARY OPINION (Rumusan)</t>
        </is>
      </c>
    </row>
    <row r="54">
      <c r="A54" s="6" t="inlineStr">
        <is>
          <t>Memuaskan (Satisfactory)</t>
        </is>
      </c>
      <c r="B54" s="7" t="inlineStr">
        <is>
          <t>No Critical/High findings. TP count zero/near-zero. Active remediation plans.</t>
        </is>
      </c>
    </row>
    <row r="55">
      <c r="A55" s="6" t="inlineStr">
        <is>
          <t>Perlu Penambahbaikan (Needs Improvement)</t>
        </is>
      </c>
      <c r="B55" s="7" t="inlineStr">
        <is>
          <t>One or more High findings, OR multiple Medium findings with systemic gaps.</t>
        </is>
      </c>
    </row>
    <row r="56">
      <c r="A56" s="6" t="inlineStr">
        <is>
          <t>Tidak Memuaskan (Unsatisfactory)</t>
        </is>
      </c>
      <c r="B56" s="7" t="inlineStr">
        <is>
          <t>One or more Critical findings, OR multiple High findings across core domains.</t>
        </is>
      </c>
    </row>
    <row r="58">
      <c r="A58" s="6" t="inlineStr">
        <is>
          <t>Selected opinion:</t>
        </is>
      </c>
      <c r="B58" s="11" t="n"/>
    </row>
    <row r="60">
      <c r="A60" s="2" t="inlineStr">
        <is>
          <t>NARRATIVE CONCLUSION (Rumusan) INPUTS</t>
        </is>
      </c>
    </row>
    <row r="61">
      <c r="A61" s="10" t="inlineStr">
        <is>
          <t>Compliance posture summary (counts, %, strongest/weakest domains)</t>
        </is>
      </c>
      <c r="B61" s="11" t="n"/>
      <c r="C61" s="38" t="n"/>
      <c r="D61" s="38" t="n"/>
      <c r="E61" s="38" t="n"/>
      <c r="F61" s="38" t="n"/>
      <c r="G61" s="38" t="n"/>
      <c r="H61" s="39" t="n"/>
    </row>
    <row r="62">
      <c r="A62" s="10" t="inlineStr">
        <is>
          <t>Risk assessment summary (finding distribution by severity, key risk areas)</t>
        </is>
      </c>
      <c r="B62" s="11" t="n"/>
      <c r="C62" s="38" t="n"/>
      <c r="D62" s="38" t="n"/>
      <c r="E62" s="38" t="n"/>
      <c r="F62" s="38" t="n"/>
      <c r="G62" s="38" t="n"/>
      <c r="H62" s="39" t="n"/>
    </row>
    <row r="63">
      <c r="A63" s="10" t="inlineStr">
        <is>
          <t>Key areas requiring attention and immediate action (CE Directive 08 para 23(j))</t>
        </is>
      </c>
      <c r="B63" s="11" t="n"/>
      <c r="C63" s="38" t="n"/>
      <c r="D63" s="38" t="n"/>
      <c r="E63" s="38" t="n"/>
      <c r="F63" s="38" t="n"/>
      <c r="G63" s="38" t="n"/>
      <c r="H63" s="39" t="n"/>
    </row>
    <row r="64">
      <c r="A64" s="10" t="inlineStr">
        <is>
          <t>CE Directive compliance status (42 directive requirements)</t>
        </is>
      </c>
      <c r="B64" s="11" t="n"/>
      <c r="C64" s="38" t="n"/>
      <c r="D64" s="38" t="n"/>
      <c r="E64" s="38" t="n"/>
      <c r="F64" s="38" t="n"/>
      <c r="G64" s="38" t="n"/>
      <c r="H64" s="39" t="n"/>
    </row>
    <row r="65">
      <c r="A65" s="10" t="inlineStr">
        <is>
          <t>Prior audit follow-up (if applicable)</t>
        </is>
      </c>
      <c r="B65" s="11" t="n"/>
      <c r="C65" s="38" t="n"/>
      <c r="D65" s="38" t="n"/>
      <c r="E65" s="38" t="n"/>
      <c r="F65" s="38" t="n"/>
      <c r="G65" s="38" t="n"/>
      <c r="H65" s="39" t="n"/>
    </row>
    <row r="66">
      <c r="A66" s="10" t="inlineStr">
        <is>
          <t>Legal practitioner input on statutory compliance (Mode A)</t>
        </is>
      </c>
      <c r="B66" s="11" t="n"/>
      <c r="C66" s="38" t="n"/>
      <c r="D66" s="38" t="n"/>
      <c r="E66" s="38" t="n"/>
      <c r="F66" s="38" t="n"/>
      <c r="G66" s="38" t="n"/>
      <c r="H66" s="39" t="n"/>
    </row>
  </sheetData>
  <mergeCells count="16">
    <mergeCell ref="A1:H1"/>
    <mergeCell ref="B66:H66"/>
    <mergeCell ref="A3:H3"/>
    <mergeCell ref="A53:H53"/>
    <mergeCell ref="B17:H17"/>
    <mergeCell ref="A15:B15"/>
    <mergeCell ref="B65:H65"/>
    <mergeCell ref="A60:H60"/>
    <mergeCell ref="A19:H19"/>
    <mergeCell ref="B62:H62"/>
    <mergeCell ref="B64:H64"/>
    <mergeCell ref="A5:H5"/>
    <mergeCell ref="A46:H46"/>
    <mergeCell ref="B61:H61"/>
    <mergeCell ref="B63:H63"/>
    <mergeCell ref="A40:H40"/>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10" customWidth="1" min="1" max="1"/>
    <col width="14" customWidth="1" min="2" max="2"/>
    <col width="40" customWidth="1" min="3" max="3"/>
    <col width="14" customWidth="1" min="4" max="4"/>
    <col width="14" customWidth="1" min="5" max="5"/>
    <col width="14" customWidth="1" min="6" max="6"/>
    <col width="30" customWidth="1" min="7" max="7"/>
  </cols>
  <sheetData>
    <row r="1">
      <c r="A1" s="1" t="inlineStr">
        <is>
          <t>PRE-ASSESSMENT DOCUMENT REQUEST LIST (PBC)</t>
        </is>
      </c>
    </row>
    <row r="2">
      <c r="A2" s="8" t="inlineStr">
        <is>
          <t>Essential items: request 2 weeks before fieldwork. Important items: obtained during fieldwork.</t>
        </is>
      </c>
    </row>
    <row r="4">
      <c r="A4" s="20" t="inlineStr">
        <is>
          <t>Item #</t>
        </is>
      </c>
      <c r="B4" s="20" t="inlineStr">
        <is>
          <t>CoP Domain</t>
        </is>
      </c>
      <c r="C4" s="20" t="inlineStr">
        <is>
          <t>Document / Evidence</t>
        </is>
      </c>
      <c r="D4" s="20" t="inlineStr">
        <is>
          <t>Priority
(Essential/Important)</t>
        </is>
      </c>
      <c r="E4" s="20" t="inlineStr">
        <is>
          <t>Format</t>
        </is>
      </c>
      <c r="F4" s="20" t="inlineStr">
        <is>
          <t>Status
(Provided/In Progress/N-A)</t>
        </is>
      </c>
      <c r="G4" s="20" t="inlineStr">
        <is>
          <t>Notes</t>
        </is>
      </c>
    </row>
    <row r="5">
      <c r="A5" s="7" t="inlineStr">
        <is>
          <t>PBC-001</t>
        </is>
      </c>
      <c r="B5" s="7" t="inlineStr">
        <is>
          <t>4.0</t>
        </is>
      </c>
      <c r="C5" s="7" t="inlineStr">
        <is>
          <t>Governance committee ToR and meeting minutes (12 months)</t>
        </is>
      </c>
      <c r="D5" s="7" t="inlineStr">
        <is>
          <t>Essential</t>
        </is>
      </c>
      <c r="E5" s="7" t="inlineStr">
        <is>
          <t>PDF/DOCX</t>
        </is>
      </c>
      <c r="F5" s="7" t="inlineStr"/>
      <c r="G5" s="7" t="inlineStr"/>
    </row>
    <row r="6">
      <c r="A6" s="7" t="inlineStr">
        <is>
          <t>PBC-002</t>
        </is>
      </c>
      <c r="B6" s="7" t="inlineStr">
        <is>
          <t>4.0</t>
        </is>
      </c>
      <c r="C6" s="7" t="inlineStr">
        <is>
          <t>CISO/ICTSO appointment letter and reporting structure</t>
        </is>
      </c>
      <c r="D6" s="7" t="inlineStr">
        <is>
          <t>Essential</t>
        </is>
      </c>
      <c r="E6" s="7" t="inlineStr">
        <is>
          <t>PDF/DOCX</t>
        </is>
      </c>
      <c r="F6" s="7" t="inlineStr"/>
      <c r="G6" s="7" t="inlineStr"/>
    </row>
    <row r="7">
      <c r="A7" s="7" t="inlineStr">
        <is>
          <t>PBC-003</t>
        </is>
      </c>
      <c r="B7" s="7" t="inlineStr">
        <is>
          <t>4.0</t>
        </is>
      </c>
      <c r="C7" s="7" t="inlineStr">
        <is>
          <t>Board resolutions on cyber security</t>
        </is>
      </c>
      <c r="D7" s="7" t="inlineStr">
        <is>
          <t>Essential</t>
        </is>
      </c>
      <c r="E7" s="7" t="inlineStr">
        <is>
          <t>PDF/DOCX</t>
        </is>
      </c>
      <c r="F7" s="7" t="inlineStr"/>
      <c r="G7" s="7" t="inlineStr"/>
    </row>
    <row r="8">
      <c r="A8" s="7" t="inlineStr">
        <is>
          <t>PBC-004</t>
        </is>
      </c>
      <c r="B8" s="7" t="inlineStr">
        <is>
          <t>5.0</t>
        </is>
      </c>
      <c r="C8" s="7" t="inlineStr">
        <is>
          <t>Approved cyber security policy (current version)</t>
        </is>
      </c>
      <c r="D8" s="7" t="inlineStr">
        <is>
          <t>Essential</t>
        </is>
      </c>
      <c r="E8" s="7" t="inlineStr">
        <is>
          <t>PDF/DOCX</t>
        </is>
      </c>
      <c r="F8" s="7" t="inlineStr"/>
      <c r="G8" s="7" t="inlineStr"/>
    </row>
    <row r="9">
      <c r="A9" s="7" t="inlineStr">
        <is>
          <t>PBC-005</t>
        </is>
      </c>
      <c r="B9" s="7" t="inlineStr">
        <is>
          <t>5.0</t>
        </is>
      </c>
      <c r="C9" s="7" t="inlineStr">
        <is>
          <t>Policy acknowledgement records (Surat Aku Janji)</t>
        </is>
      </c>
      <c r="D9" s="7" t="inlineStr">
        <is>
          <t>Important</t>
        </is>
      </c>
      <c r="E9" s="7" t="inlineStr">
        <is>
          <t>PDF/DOCX</t>
        </is>
      </c>
      <c r="F9" s="7" t="inlineStr"/>
      <c r="G9" s="7" t="inlineStr"/>
    </row>
    <row r="10">
      <c r="A10" s="7" t="inlineStr">
        <is>
          <t>PBC-006</t>
        </is>
      </c>
      <c r="B10" s="7" t="inlineStr">
        <is>
          <t>5.0</t>
        </is>
      </c>
      <c r="C10" s="7" t="inlineStr">
        <is>
          <t>Cyber security objectives register with KPIs</t>
        </is>
      </c>
      <c r="D10" s="7" t="inlineStr">
        <is>
          <t>Important</t>
        </is>
      </c>
      <c r="E10" s="7" t="inlineStr">
        <is>
          <t>PDF/DOCX</t>
        </is>
      </c>
      <c r="F10" s="7" t="inlineStr"/>
      <c r="G10" s="7" t="inlineStr"/>
    </row>
    <row r="11">
      <c r="A11" s="7" t="inlineStr">
        <is>
          <t>PBC-007</t>
        </is>
      </c>
      <c r="B11" s="7" t="inlineStr">
        <is>
          <t>6.0</t>
        </is>
      </c>
      <c r="C11" s="7" t="inlineStr">
        <is>
          <t>Cyber security team org chart and job descriptions</t>
        </is>
      </c>
      <c r="D11" s="7" t="inlineStr">
        <is>
          <t>Essential</t>
        </is>
      </c>
      <c r="E11" s="7" t="inlineStr">
        <is>
          <t>PDF/DOCX</t>
        </is>
      </c>
      <c r="F11" s="7" t="inlineStr"/>
      <c r="G11" s="7" t="inlineStr"/>
    </row>
    <row r="12">
      <c r="A12" s="7" t="inlineStr">
        <is>
          <t>PBC-008</t>
        </is>
      </c>
      <c r="B12" s="7" t="inlineStr">
        <is>
          <t>6.0</t>
        </is>
      </c>
      <c r="C12" s="7" t="inlineStr">
        <is>
          <t>Training plan and completion records</t>
        </is>
      </c>
      <c r="D12" s="7" t="inlineStr">
        <is>
          <t>Essential</t>
        </is>
      </c>
      <c r="E12" s="7" t="inlineStr">
        <is>
          <t>PDF/DOCX</t>
        </is>
      </c>
      <c r="F12" s="7" t="inlineStr"/>
      <c r="G12" s="7" t="inlineStr"/>
    </row>
    <row r="13">
      <c r="A13" s="7" t="inlineStr">
        <is>
          <t>PBC-009</t>
        </is>
      </c>
      <c r="B13" s="7" t="inlineStr">
        <is>
          <t>6.0</t>
        </is>
      </c>
      <c r="C13" s="7" t="inlineStr">
        <is>
          <t>NC4/NACSA/RMP contact register</t>
        </is>
      </c>
      <c r="D13" s="7" t="inlineStr">
        <is>
          <t>Essential</t>
        </is>
      </c>
      <c r="E13" s="7" t="inlineStr">
        <is>
          <t>PDF/DOCX</t>
        </is>
      </c>
      <c r="F13" s="7" t="inlineStr"/>
      <c r="G13" s="7" t="inlineStr"/>
    </row>
    <row r="14">
      <c r="A14" s="7" t="inlineStr">
        <is>
          <t>PBC-010</t>
        </is>
      </c>
      <c r="B14" s="7" t="inlineStr">
        <is>
          <t>7.0</t>
        </is>
      </c>
      <c r="C14" s="7" t="inlineStr">
        <is>
          <t>IT Acceptable Use Policy</t>
        </is>
      </c>
      <c r="D14" s="7" t="inlineStr">
        <is>
          <t>Essential</t>
        </is>
      </c>
      <c r="E14" s="7" t="inlineStr">
        <is>
          <t>PDF/DOCX</t>
        </is>
      </c>
      <c r="F14" s="7" t="inlineStr"/>
      <c r="G14" s="7" t="inlineStr"/>
    </row>
    <row r="15">
      <c r="A15" s="7" t="inlineStr">
        <is>
          <t>PBC-011</t>
        </is>
      </c>
      <c r="B15" s="7" t="inlineStr">
        <is>
          <t>7.0</t>
        </is>
      </c>
      <c r="C15" s="7" t="inlineStr">
        <is>
          <t>Latest audit report and CE submission confirmation</t>
        </is>
      </c>
      <c r="D15" s="7" t="inlineStr">
        <is>
          <t>Essential</t>
        </is>
      </c>
      <c r="E15" s="7" t="inlineStr">
        <is>
          <t>PDF/DOCX</t>
        </is>
      </c>
      <c r="F15" s="7" t="inlineStr"/>
      <c r="G15" s="7" t="inlineStr"/>
    </row>
    <row r="16">
      <c r="A16" s="7" t="inlineStr">
        <is>
          <t>PBC-012</t>
        </is>
      </c>
      <c r="B16" s="7" t="inlineStr">
        <is>
          <t>7.0</t>
        </is>
      </c>
      <c r="C16" s="7" t="inlineStr">
        <is>
          <t>Vendor/supplier register with CSSP licence records</t>
        </is>
      </c>
      <c r="D16" s="7" t="inlineStr">
        <is>
          <t>Essential</t>
        </is>
      </c>
      <c r="E16" s="7" t="inlineStr">
        <is>
          <t>PDF/DOCX</t>
        </is>
      </c>
      <c r="F16" s="7" t="inlineStr"/>
      <c r="G16" s="7" t="inlineStr"/>
    </row>
    <row r="17">
      <c r="A17" s="7" t="inlineStr">
        <is>
          <t>PBC-013</t>
        </is>
      </c>
      <c r="B17" s="7" t="inlineStr">
        <is>
          <t>8.0</t>
        </is>
      </c>
      <c r="C17" s="7" t="inlineStr">
        <is>
          <t>NCII asset register / CMDB extract</t>
        </is>
      </c>
      <c r="D17" s="7" t="inlineStr">
        <is>
          <t>Essential</t>
        </is>
      </c>
      <c r="E17" s="7" t="inlineStr">
        <is>
          <t>PDF/DOCX</t>
        </is>
      </c>
      <c r="F17" s="7" t="inlineStr"/>
      <c r="G17" s="7" t="inlineStr"/>
    </row>
    <row r="18">
      <c r="A18" s="7" t="inlineStr">
        <is>
          <t>PBC-014</t>
        </is>
      </c>
      <c r="B18" s="7" t="inlineStr">
        <is>
          <t>8.0</t>
        </is>
      </c>
      <c r="C18" s="7" t="inlineStr">
        <is>
          <t>Asset classification scheme</t>
        </is>
      </c>
      <c r="D18" s="7" t="inlineStr">
        <is>
          <t>Essential</t>
        </is>
      </c>
      <c r="E18" s="7" t="inlineStr">
        <is>
          <t>PDF/DOCX</t>
        </is>
      </c>
      <c r="F18" s="7" t="inlineStr"/>
      <c r="G18" s="7" t="inlineStr"/>
    </row>
    <row r="19">
      <c r="A19" s="7" t="inlineStr">
        <is>
          <t>PBC-015</t>
        </is>
      </c>
      <c r="B19" s="7" t="inlineStr">
        <is>
          <t>8.0</t>
        </is>
      </c>
      <c r="C19" s="7" t="inlineStr">
        <is>
          <t>Capacity monitoring dashboards</t>
        </is>
      </c>
      <c r="D19" s="7" t="inlineStr">
        <is>
          <t>Important</t>
        </is>
      </c>
      <c r="E19" s="7" t="inlineStr">
        <is>
          <t>PDF/DOCX</t>
        </is>
      </c>
      <c r="F19" s="7" t="inlineStr"/>
      <c r="G19" s="7" t="inlineStr"/>
    </row>
    <row r="20">
      <c r="A20" s="7" t="inlineStr">
        <is>
          <t>PBC-016</t>
        </is>
      </c>
      <c r="B20" s="7" t="inlineStr">
        <is>
          <t>9.0</t>
        </is>
      </c>
      <c r="C20" s="7" t="inlineStr">
        <is>
          <t>Risk assessment report (dated within 12 months)</t>
        </is>
      </c>
      <c r="D20" s="7" t="inlineStr">
        <is>
          <t>Essential</t>
        </is>
      </c>
      <c r="E20" s="7" t="inlineStr">
        <is>
          <t>PDF/DOCX</t>
        </is>
      </c>
      <c r="F20" s="7" t="inlineStr"/>
      <c r="G20" s="7" t="inlineStr"/>
    </row>
    <row r="21">
      <c r="A21" s="7" t="inlineStr">
        <is>
          <t>PBC-017</t>
        </is>
      </c>
      <c r="B21" s="7" t="inlineStr">
        <is>
          <t>9.0</t>
        </is>
      </c>
      <c r="C21" s="7" t="inlineStr">
        <is>
          <t>Risk register and risk treatment plan</t>
        </is>
      </c>
      <c r="D21" s="7" t="inlineStr">
        <is>
          <t>Essential</t>
        </is>
      </c>
      <c r="E21" s="7" t="inlineStr">
        <is>
          <t>PDF/DOCX</t>
        </is>
      </c>
      <c r="F21" s="7" t="inlineStr"/>
      <c r="G21" s="7" t="inlineStr"/>
    </row>
    <row r="22">
      <c r="A22" s="7" t="inlineStr">
        <is>
          <t>PBC-018</t>
        </is>
      </c>
      <c r="B22" s="7" t="inlineStr">
        <is>
          <t>9.0</t>
        </is>
      </c>
      <c r="C22" s="7" t="inlineStr">
        <is>
          <t>CE submission confirmation for RA</t>
        </is>
      </c>
      <c r="D22" s="7" t="inlineStr">
        <is>
          <t>Essential</t>
        </is>
      </c>
      <c r="E22" s="7" t="inlineStr">
        <is>
          <t>PDF/DOCX</t>
        </is>
      </c>
      <c r="F22" s="7" t="inlineStr"/>
      <c r="G22" s="7" t="inlineStr"/>
    </row>
    <row r="23">
      <c r="A23" s="7" t="inlineStr">
        <is>
          <t>PBC-019</t>
        </is>
      </c>
      <c r="B23" s="7" t="inlineStr">
        <is>
          <t>10.0</t>
        </is>
      </c>
      <c r="C23" s="7" t="inlineStr">
        <is>
          <t>Change management procedure</t>
        </is>
      </c>
      <c r="D23" s="7" t="inlineStr">
        <is>
          <t>Essential</t>
        </is>
      </c>
      <c r="E23" s="7" t="inlineStr">
        <is>
          <t>PDF/DOCX</t>
        </is>
      </c>
      <c r="F23" s="7" t="inlineStr"/>
      <c r="G23" s="7" t="inlineStr"/>
    </row>
    <row r="24">
      <c r="A24" s="7" t="inlineStr">
        <is>
          <t>PBC-020</t>
        </is>
      </c>
      <c r="B24" s="7" t="inlineStr">
        <is>
          <t>10.0</t>
        </is>
      </c>
      <c r="C24" s="7" t="inlineStr">
        <is>
          <t>Sample of 10 change records with approvals</t>
        </is>
      </c>
      <c r="D24" s="7" t="inlineStr">
        <is>
          <t>Important</t>
        </is>
      </c>
      <c r="E24" s="7" t="inlineStr">
        <is>
          <t>PDF/DOCX</t>
        </is>
      </c>
      <c r="F24" s="7" t="inlineStr"/>
      <c r="G24" s="7" t="inlineStr"/>
    </row>
    <row r="25">
      <c r="A25" s="7" t="inlineStr">
        <is>
          <t>PBC-021</t>
        </is>
      </c>
      <c r="B25" s="7" t="inlineStr">
        <is>
          <t>11.0</t>
        </is>
      </c>
      <c r="C25" s="7" t="inlineStr">
        <is>
          <t>DLP solution deployment documentation</t>
        </is>
      </c>
      <c r="D25" s="7" t="inlineStr">
        <is>
          <t>Essential</t>
        </is>
      </c>
      <c r="E25" s="7" t="inlineStr">
        <is>
          <t>PDF/DOCX</t>
        </is>
      </c>
      <c r="F25" s="7" t="inlineStr"/>
      <c r="G25" s="7" t="inlineStr"/>
    </row>
    <row r="26">
      <c r="A26" s="7" t="inlineStr">
        <is>
          <t>PBC-022</t>
        </is>
      </c>
      <c r="B26" s="7" t="inlineStr">
        <is>
          <t>11.0</t>
        </is>
      </c>
      <c r="C26" s="7" t="inlineStr">
        <is>
          <t>Data privacy procedure and PDPA alignment mapping</t>
        </is>
      </c>
      <c r="D26" s="7" t="inlineStr">
        <is>
          <t>Essential</t>
        </is>
      </c>
      <c r="E26" s="7" t="inlineStr">
        <is>
          <t>PDF/DOCX</t>
        </is>
      </c>
      <c r="F26" s="7" t="inlineStr"/>
      <c r="G26" s="7" t="inlineStr"/>
    </row>
    <row r="27">
      <c r="A27" s="7" t="inlineStr">
        <is>
          <t>PBC-023</t>
        </is>
      </c>
      <c r="B27" s="7" t="inlineStr">
        <is>
          <t>11.0</t>
        </is>
      </c>
      <c r="C27" s="7" t="inlineStr">
        <is>
          <t>Secure coding standards (OWASP mapping)</t>
        </is>
      </c>
      <c r="D27" s="7" t="inlineStr">
        <is>
          <t>Important</t>
        </is>
      </c>
      <c r="E27" s="7" t="inlineStr">
        <is>
          <t>PDF/DOCX</t>
        </is>
      </c>
      <c r="F27" s="7" t="inlineStr"/>
      <c r="G27" s="7" t="inlineStr"/>
    </row>
    <row r="28">
      <c r="A28" s="7" t="inlineStr">
        <is>
          <t>PBC-024</t>
        </is>
      </c>
      <c r="B28" s="7" t="inlineStr">
        <is>
          <t>11.0</t>
        </is>
      </c>
      <c r="C28" s="7" t="inlineStr">
        <is>
          <t>Secure configuration baselines (CIS/STIG)</t>
        </is>
      </c>
      <c r="D28" s="7" t="inlineStr">
        <is>
          <t>Important</t>
        </is>
      </c>
      <c r="E28" s="7" t="inlineStr">
        <is>
          <t>PDF/DOCX</t>
        </is>
      </c>
      <c r="F28" s="7" t="inlineStr"/>
      <c r="G28" s="7" t="inlineStr"/>
    </row>
    <row r="29">
      <c r="A29" s="7" t="inlineStr">
        <is>
          <t>PBC-025</t>
        </is>
      </c>
      <c r="B29" s="7" t="inlineStr">
        <is>
          <t>12.0</t>
        </is>
      </c>
      <c r="C29" s="7" t="inlineStr">
        <is>
          <t>NDA templates (all types) and signed samples</t>
        </is>
      </c>
      <c r="D29" s="7" t="inlineStr">
        <is>
          <t>Essential</t>
        </is>
      </c>
      <c r="E29" s="7" t="inlineStr">
        <is>
          <t>PDF/DOCX</t>
        </is>
      </c>
      <c r="F29" s="7" t="inlineStr"/>
      <c r="G29" s="7" t="inlineStr"/>
    </row>
    <row r="30">
      <c r="A30" s="7" t="inlineStr">
        <is>
          <t>PBC-026</t>
        </is>
      </c>
      <c r="B30" s="7" t="inlineStr">
        <is>
          <t>13.0</t>
        </is>
      </c>
      <c r="C30" s="7" t="inlineStr">
        <is>
          <t>Physical security procedure</t>
        </is>
      </c>
      <c r="D30" s="7" t="inlineStr">
        <is>
          <t>Essential</t>
        </is>
      </c>
      <c r="E30" s="7" t="inlineStr">
        <is>
          <t>PDF/DOCX</t>
        </is>
      </c>
      <c r="F30" s="7" t="inlineStr"/>
      <c r="G30" s="7" t="inlineStr"/>
    </row>
    <row r="31">
      <c r="A31" s="7" t="inlineStr">
        <is>
          <t>PBC-027</t>
        </is>
      </c>
      <c r="B31" s="7" t="inlineStr">
        <is>
          <t>13.0</t>
        </is>
      </c>
      <c r="C31" s="7" t="inlineStr">
        <is>
          <t>CCTV coverage map and access log samples</t>
        </is>
      </c>
      <c r="D31" s="7" t="inlineStr">
        <is>
          <t>Important</t>
        </is>
      </c>
      <c r="E31" s="7" t="inlineStr">
        <is>
          <t>PDF/DOCX</t>
        </is>
      </c>
      <c r="F31" s="7" t="inlineStr"/>
      <c r="G31" s="7" t="inlineStr"/>
    </row>
    <row r="32">
      <c r="A32" s="7" t="inlineStr">
        <is>
          <t>PBC-028</t>
        </is>
      </c>
      <c r="B32" s="7" t="inlineStr">
        <is>
          <t>14.0</t>
        </is>
      </c>
      <c r="C32" s="7" t="inlineStr">
        <is>
          <t>Network architecture diagrams (physical and logical)</t>
        </is>
      </c>
      <c r="D32" s="7" t="inlineStr">
        <is>
          <t>Essential</t>
        </is>
      </c>
      <c r="E32" s="7" t="inlineStr">
        <is>
          <t>PDF/DOCX</t>
        </is>
      </c>
      <c r="F32" s="7" t="inlineStr"/>
      <c r="G32" s="7" t="inlineStr"/>
    </row>
    <row r="33">
      <c r="A33" s="7" t="inlineStr">
        <is>
          <t>PBC-029</t>
        </is>
      </c>
      <c r="B33" s="7" t="inlineStr">
        <is>
          <t>14.0</t>
        </is>
      </c>
      <c r="C33" s="7" t="inlineStr">
        <is>
          <t>Firewall rule documentation</t>
        </is>
      </c>
      <c r="D33" s="7" t="inlineStr">
        <is>
          <t>Essential</t>
        </is>
      </c>
      <c r="E33" s="7" t="inlineStr">
        <is>
          <t>PDF/DOCX</t>
        </is>
      </c>
      <c r="F33" s="7" t="inlineStr"/>
      <c r="G33" s="7" t="inlineStr"/>
    </row>
    <row r="34">
      <c r="A34" s="7" t="inlineStr">
        <is>
          <t>PBC-030</t>
        </is>
      </c>
      <c r="B34" s="7" t="inlineStr">
        <is>
          <t>14.0</t>
        </is>
      </c>
      <c r="C34" s="7" t="inlineStr">
        <is>
          <t>IDS/IPS and EDR/AV deployment records</t>
        </is>
      </c>
      <c r="D34" s="7" t="inlineStr">
        <is>
          <t>Important</t>
        </is>
      </c>
      <c r="E34" s="7" t="inlineStr">
        <is>
          <t>PDF/DOCX</t>
        </is>
      </c>
      <c r="F34" s="7" t="inlineStr"/>
      <c r="G34" s="7" t="inlineStr"/>
    </row>
    <row r="35">
      <c r="A35" s="7" t="inlineStr">
        <is>
          <t>PBC-031</t>
        </is>
      </c>
      <c r="B35" s="7" t="inlineStr">
        <is>
          <t>15.0</t>
        </is>
      </c>
      <c r="C35" s="7" t="inlineStr">
        <is>
          <t>IAM policy and MFA deployment evidence</t>
        </is>
      </c>
      <c r="D35" s="7" t="inlineStr">
        <is>
          <t>Essential</t>
        </is>
      </c>
      <c r="E35" s="7" t="inlineStr">
        <is>
          <t>PDF/DOCX</t>
        </is>
      </c>
      <c r="F35" s="7" t="inlineStr"/>
      <c r="G35" s="7" t="inlineStr"/>
    </row>
    <row r="36">
      <c r="A36" s="7" t="inlineStr">
        <is>
          <t>PBC-032</t>
        </is>
      </c>
      <c r="B36" s="7" t="inlineStr">
        <is>
          <t>15.0</t>
        </is>
      </c>
      <c r="C36" s="7" t="inlineStr">
        <is>
          <t>Privileged account inventory</t>
        </is>
      </c>
      <c r="D36" s="7" t="inlineStr">
        <is>
          <t>Essential</t>
        </is>
      </c>
      <c r="E36" s="7" t="inlineStr">
        <is>
          <t>PDF/DOCX</t>
        </is>
      </c>
      <c r="F36" s="7" t="inlineStr"/>
      <c r="G36" s="7" t="inlineStr"/>
    </row>
    <row r="37">
      <c r="A37" s="7" t="inlineStr">
        <is>
          <t>PBC-033</t>
        </is>
      </c>
      <c r="B37" s="7" t="inlineStr">
        <is>
          <t>15.0</t>
        </is>
      </c>
      <c r="C37" s="7" t="inlineStr">
        <is>
          <t>Latest user access review records</t>
        </is>
      </c>
      <c r="D37" s="7" t="inlineStr">
        <is>
          <t>Important</t>
        </is>
      </c>
      <c r="E37" s="7" t="inlineStr">
        <is>
          <t>PDF/DOCX</t>
        </is>
      </c>
      <c r="F37" s="7" t="inlineStr"/>
      <c r="G37" s="7" t="inlineStr"/>
    </row>
    <row r="38">
      <c r="A38" s="7" t="inlineStr">
        <is>
          <t>PBC-034</t>
        </is>
      </c>
      <c r="B38" s="7" t="inlineStr">
        <is>
          <t>16.0</t>
        </is>
      </c>
      <c r="C38" s="7" t="inlineStr">
        <is>
          <t>Vulnerability Management Program document</t>
        </is>
      </c>
      <c r="D38" s="7" t="inlineStr">
        <is>
          <t>Essential</t>
        </is>
      </c>
      <c r="E38" s="7" t="inlineStr">
        <is>
          <t>PDF/DOCX</t>
        </is>
      </c>
      <c r="F38" s="7" t="inlineStr"/>
      <c r="G38" s="7" t="inlineStr"/>
    </row>
    <row r="39">
      <c r="A39" s="7" t="inlineStr">
        <is>
          <t>PBC-035</t>
        </is>
      </c>
      <c r="B39" s="7" t="inlineStr">
        <is>
          <t>16.0</t>
        </is>
      </c>
      <c r="C39" s="7" t="inlineStr">
        <is>
          <t>Latest vulnerability scan and penetration test reports</t>
        </is>
      </c>
      <c r="D39" s="7" t="inlineStr">
        <is>
          <t>Essential</t>
        </is>
      </c>
      <c r="E39" s="7" t="inlineStr">
        <is>
          <t>PDF/DOCX</t>
        </is>
      </c>
      <c r="F39" s="7" t="inlineStr"/>
      <c r="G39" s="7" t="inlineStr"/>
    </row>
    <row r="40">
      <c r="A40" s="7" t="inlineStr">
        <is>
          <t>PBC-036</t>
        </is>
      </c>
      <c r="B40" s="7" t="inlineStr">
        <is>
          <t>16.0</t>
        </is>
      </c>
      <c r="C40" s="7" t="inlineStr">
        <is>
          <t>Remediation tracker with SLA compliance</t>
        </is>
      </c>
      <c r="D40" s="7" t="inlineStr">
        <is>
          <t>Important</t>
        </is>
      </c>
      <c r="E40" s="7" t="inlineStr">
        <is>
          <t>PDF/DOCX</t>
        </is>
      </c>
      <c r="F40" s="7" t="inlineStr"/>
      <c r="G40" s="7" t="inlineStr"/>
    </row>
    <row r="41">
      <c r="A41" s="7" t="inlineStr">
        <is>
          <t>PBC-037</t>
        </is>
      </c>
      <c r="B41" s="7" t="inlineStr">
        <is>
          <t>17.0</t>
        </is>
      </c>
      <c r="C41" s="7" t="inlineStr">
        <is>
          <t>Security Monitoring Procedure (SMP)</t>
        </is>
      </c>
      <c r="D41" s="7" t="inlineStr">
        <is>
          <t>Essential</t>
        </is>
      </c>
      <c r="E41" s="7" t="inlineStr">
        <is>
          <t>PDF/DOCX</t>
        </is>
      </c>
      <c r="F41" s="7" t="inlineStr"/>
      <c r="G41" s="7" t="inlineStr"/>
    </row>
    <row r="42">
      <c r="A42" s="7" t="inlineStr">
        <is>
          <t>PBC-038</t>
        </is>
      </c>
      <c r="B42" s="7" t="inlineStr">
        <is>
          <t>17.0</t>
        </is>
      </c>
      <c r="C42" s="7" t="inlineStr">
        <is>
          <t>SIEM log source inventory</t>
        </is>
      </c>
      <c r="D42" s="7" t="inlineStr">
        <is>
          <t>Essential</t>
        </is>
      </c>
      <c r="E42" s="7" t="inlineStr">
        <is>
          <t>PDF/DOCX</t>
        </is>
      </c>
      <c r="F42" s="7" t="inlineStr"/>
      <c r="G42" s="7" t="inlineStr"/>
    </row>
    <row r="43">
      <c r="A43" s="7" t="inlineStr">
        <is>
          <t>PBC-039</t>
        </is>
      </c>
      <c r="B43" s="7" t="inlineStr">
        <is>
          <t>17.0</t>
        </is>
      </c>
      <c r="C43" s="7" t="inlineStr">
        <is>
          <t>MTTD/MTTR KPI dashboards</t>
        </is>
      </c>
      <c r="D43" s="7" t="inlineStr">
        <is>
          <t>Important</t>
        </is>
      </c>
      <c r="E43" s="7" t="inlineStr">
        <is>
          <t>PDF/DOCX</t>
        </is>
      </c>
      <c r="F43" s="7" t="inlineStr"/>
      <c r="G43" s="7" t="inlineStr"/>
    </row>
    <row r="44">
      <c r="A44" s="7" t="inlineStr">
        <is>
          <t>PBC-040</t>
        </is>
      </c>
      <c r="B44" s="7" t="inlineStr">
        <is>
          <t>18.0</t>
        </is>
      </c>
      <c r="C44" s="7" t="inlineStr">
        <is>
          <t>Cyber Security Incident Management Plan (CSIMP)</t>
        </is>
      </c>
      <c r="D44" s="7" t="inlineStr">
        <is>
          <t>Essential</t>
        </is>
      </c>
      <c r="E44" s="7" t="inlineStr">
        <is>
          <t>PDF/DOCX</t>
        </is>
      </c>
      <c r="F44" s="7" t="inlineStr"/>
      <c r="G44" s="7" t="inlineStr"/>
    </row>
    <row r="45">
      <c r="A45" s="7" t="inlineStr">
        <is>
          <t>PBC-041</t>
        </is>
      </c>
      <c r="B45" s="7" t="inlineStr">
        <is>
          <t>18.0</t>
        </is>
      </c>
      <c r="C45" s="7" t="inlineStr">
        <is>
          <t>CSIRT charter and 3 authorised person appointment letters</t>
        </is>
      </c>
      <c r="D45" s="7" t="inlineStr">
        <is>
          <t>Essential</t>
        </is>
      </c>
      <c r="E45" s="7" t="inlineStr">
        <is>
          <t>PDF/DOCX</t>
        </is>
      </c>
      <c r="F45" s="7" t="inlineStr"/>
      <c r="G45" s="7" t="inlineStr"/>
    </row>
    <row r="46">
      <c r="A46" s="7" t="inlineStr">
        <is>
          <t>PBC-042</t>
        </is>
      </c>
      <c r="B46" s="7" t="inlineStr">
        <is>
          <t>18.0</t>
        </is>
      </c>
      <c r="C46" s="7" t="inlineStr">
        <is>
          <t>NC4 portal access evidence</t>
        </is>
      </c>
      <c r="D46" s="7" t="inlineStr">
        <is>
          <t>Essential</t>
        </is>
      </c>
      <c r="E46" s="7" t="inlineStr">
        <is>
          <t>PDF/DOCX</t>
        </is>
      </c>
      <c r="F46" s="7" t="inlineStr"/>
      <c r="G46" s="7" t="inlineStr"/>
    </row>
    <row r="47">
      <c r="A47" s="7" t="inlineStr">
        <is>
          <t>PBC-043</t>
        </is>
      </c>
      <c r="B47" s="7" t="inlineStr">
        <is>
          <t>18.0</t>
        </is>
      </c>
      <c r="C47" s="7" t="inlineStr">
        <is>
          <t>6-hour notification tabletop exercise results</t>
        </is>
      </c>
      <c r="D47" s="7" t="inlineStr">
        <is>
          <t>Important</t>
        </is>
      </c>
      <c r="E47" s="7" t="inlineStr">
        <is>
          <t>PDF/DOCX</t>
        </is>
      </c>
      <c r="F47" s="7" t="inlineStr"/>
      <c r="G47" s="7" t="inlineStr"/>
    </row>
    <row r="48">
      <c r="A48" s="7" t="inlineStr">
        <is>
          <t>PBC-044</t>
        </is>
      </c>
      <c r="B48" s="7" t="inlineStr">
        <is>
          <t>19.0</t>
        </is>
      </c>
      <c r="C48" s="7" t="inlineStr">
        <is>
          <t>BCP document with BIA and RTO/RPO definitions</t>
        </is>
      </c>
      <c r="D48" s="7" t="inlineStr">
        <is>
          <t>Essential</t>
        </is>
      </c>
      <c r="E48" s="7" t="inlineStr">
        <is>
          <t>PDF/DOCX</t>
        </is>
      </c>
      <c r="F48" s="7" t="inlineStr"/>
      <c r="G48" s="7" t="inlineStr"/>
    </row>
    <row r="49">
      <c r="A49" s="7" t="inlineStr">
        <is>
          <t>PBC-045</t>
        </is>
      </c>
      <c r="B49" s="7" t="inlineStr">
        <is>
          <t>19.0</t>
        </is>
      </c>
      <c r="C49" s="7" t="inlineStr">
        <is>
          <t>DR failover test records and results</t>
        </is>
      </c>
      <c r="D49" s="7" t="inlineStr">
        <is>
          <t>Essential</t>
        </is>
      </c>
      <c r="E49" s="7" t="inlineStr">
        <is>
          <t>PDF/DOCX</t>
        </is>
      </c>
      <c r="F49" s="7" t="inlineStr"/>
      <c r="G49" s="7" t="inlineStr"/>
    </row>
    <row r="50">
      <c r="A50" s="7" t="inlineStr">
        <is>
          <t>PBC-046</t>
        </is>
      </c>
      <c r="B50" s="7" t="inlineStr">
        <is>
          <t>19.0</t>
        </is>
      </c>
      <c r="C50" s="7" t="inlineStr">
        <is>
          <t>Backup job logs (90-day analysis)</t>
        </is>
      </c>
      <c r="D50" s="7" t="inlineStr">
        <is>
          <t>Important</t>
        </is>
      </c>
      <c r="E50" s="7" t="inlineStr">
        <is>
          <t>PDF/DOCX</t>
        </is>
      </c>
      <c r="F50" s="7" t="inlineStr"/>
      <c r="G50" s="7" t="inlineStr"/>
    </row>
    <row r="51">
      <c r="A51" s="7" t="inlineStr">
        <is>
          <t>PBC-047</t>
        </is>
      </c>
      <c r="B51" s="7" t="inlineStr">
        <is>
          <t>20.0</t>
        </is>
      </c>
      <c r="C51" s="7" t="inlineStr">
        <is>
          <t>Applicable sector-specific CoP (if published)</t>
        </is>
      </c>
      <c r="D51" s="7" t="inlineStr">
        <is>
          <t>Essential</t>
        </is>
      </c>
      <c r="E51" s="7" t="inlineStr">
        <is>
          <t>PDF/DOCX</t>
        </is>
      </c>
      <c r="F51" s="7" t="inlineStr"/>
      <c r="G51" s="7" t="inlineStr"/>
    </row>
    <row r="52">
      <c r="A52" s="7" t="inlineStr">
        <is>
          <t>PBC-048</t>
        </is>
      </c>
      <c r="B52" s="7" t="inlineStr">
        <is>
          <t>CED</t>
        </is>
      </c>
      <c r="C52" s="7" t="inlineStr">
        <is>
          <t>Authorised person details submitted to CE NACSA (CED-01)</t>
        </is>
      </c>
      <c r="D52" s="7" t="inlineStr">
        <is>
          <t>Essential</t>
        </is>
      </c>
      <c r="E52" s="7" t="inlineStr">
        <is>
          <t>PDF/DOCX</t>
        </is>
      </c>
      <c r="F52" s="7" t="inlineStr"/>
      <c r="G52" s="7" t="inlineStr"/>
    </row>
    <row r="53">
      <c r="A53" s="7" t="inlineStr">
        <is>
          <t>PBC-049</t>
        </is>
      </c>
      <c r="B53" s="7" t="inlineStr">
        <is>
          <t>CED</t>
        </is>
      </c>
      <c r="C53" s="7" t="inlineStr">
        <is>
          <t>NCSB Self-Assessment (CED-04)</t>
        </is>
      </c>
      <c r="D53" s="7" t="inlineStr">
        <is>
          <t>Essential</t>
        </is>
      </c>
      <c r="E53" s="7" t="inlineStr">
        <is>
          <t>PDF/DOCX</t>
        </is>
      </c>
      <c r="F53" s="7" t="inlineStr"/>
      <c r="G53" s="7" t="inlineStr"/>
    </row>
    <row r="54">
      <c r="A54" s="7" t="inlineStr">
        <is>
          <t>PBC-050</t>
        </is>
      </c>
      <c r="B54" s="7" t="inlineStr">
        <is>
          <t>CED</t>
        </is>
      </c>
      <c r="C54" s="7" t="inlineStr">
        <is>
          <t>Auditor appointment approval from NACSA (CED-08)</t>
        </is>
      </c>
      <c r="D54" s="7" t="inlineStr">
        <is>
          <t>Essential</t>
        </is>
      </c>
      <c r="E54" s="7" t="inlineStr">
        <is>
          <t>PDF/DOCX</t>
        </is>
      </c>
      <c r="F54" s="7" t="inlineStr"/>
      <c r="G54" s="7" t="inlineStr"/>
    </row>
    <row r="55">
      <c r="A55" s="7" t="inlineStr">
        <is>
          <t>PBC-051</t>
        </is>
      </c>
      <c r="B55" s="7" t="inlineStr">
        <is>
          <t>CED</t>
        </is>
      </c>
      <c r="C55" s="7" t="inlineStr">
        <is>
          <t>Auditor NDA signed with NACSA (CED-08)</t>
        </is>
      </c>
      <c r="D55" s="7" t="inlineStr">
        <is>
          <t>Essential</t>
        </is>
      </c>
      <c r="E55" s="7" t="inlineStr">
        <is>
          <t>PDF/DOCX</t>
        </is>
      </c>
      <c r="F55" s="7" t="inlineStr"/>
      <c r="G55" s="7" t="inlineStr"/>
    </row>
    <row r="56">
      <c r="A56" s="7" t="inlineStr">
        <is>
          <t>PBC-052</t>
        </is>
      </c>
      <c r="B56" s="7" t="inlineStr">
        <is>
          <t>CED</t>
        </is>
      </c>
      <c r="C56" s="7" t="inlineStr">
        <is>
          <t>National Cyber Crisis Management Plan receipt (CED-10)</t>
        </is>
      </c>
      <c r="D56" s="7" t="inlineStr">
        <is>
          <t>Essential</t>
        </is>
      </c>
      <c r="E56" s="7" t="inlineStr">
        <is>
          <t>PDF/DOCX</t>
        </is>
      </c>
      <c r="F56" s="7" t="inlineStr"/>
      <c r="G56" s="7" t="inlineStr"/>
    </row>
    <row r="59">
      <c r="A59" s="3" t="inlineStr">
        <is>
          <t>Total document requests: 52</t>
        </is>
      </c>
    </row>
  </sheetData>
  <mergeCells count="3">
    <mergeCell ref="A2:G2"/>
    <mergeCell ref="A1:G1"/>
    <mergeCell ref="A59:G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2026-03-31T23:16:00Z</dcterms:created>
  <dcterms:modified xmlns:dcterms="http://purl.org/dc/terms/" xmlns:xsi="http://www.w3.org/2001/XMLSchema-instance" xsi:type="dcterms:W3CDTF">2026-04-01T09:30:32Z</dcterms:modified>
</cp:coreProperties>
</file>